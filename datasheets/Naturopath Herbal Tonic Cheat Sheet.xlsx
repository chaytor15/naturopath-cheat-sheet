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samsh\Desktop\naturopath-cheat-sheet\datasheets\"/>
    </mc:Choice>
  </mc:AlternateContent>
  <xr:revisionPtr revIDLastSave="0" documentId="13_ncr:1_{89B55D1E-859F-4197-AB5B-A0060E83096B}" xr6:coauthVersionLast="47" xr6:coauthVersionMax="47" xr10:uidLastSave="{00000000-0000-0000-0000-000000000000}"/>
  <bookViews>
    <workbookView xWindow="-98" yWindow="-98" windowWidth="21795" windowHeight="11625" firstSheet="1" activeTab="3" xr2:uid="{16E3A430-5CD8-5E46-9DA0-559A678F9327}"/>
  </bookViews>
  <sheets>
    <sheet name="Health Concern" sheetId="1" r:id="rId1"/>
    <sheet name="Reference sheet" sheetId="12" r:id="rId2"/>
    <sheet name="Bloating(do not use)" sheetId="3" r:id="rId3"/>
    <sheet name="Cardiovascular (update WIP)" sheetId="11" r:id="rId4"/>
    <sheet name="Cardiovascular" sheetId="4" r:id="rId5"/>
    <sheet name="Digestion &amp; Liver" sheetId="2" r:id="rId6"/>
    <sheet name="mens health " sheetId="5" r:id="rId7"/>
    <sheet name="Haematology" sheetId="6" r:id="rId8"/>
    <sheet name="Skin condtion " sheetId="9" r:id="rId9"/>
    <sheet name="Pregnacy and laction safe herbs" sheetId="7" r:id="rId10"/>
    <sheet name="womens health " sheetId="10" r:id="rId11"/>
    <sheet name="_x000a_Urinary System_x000a_Urinary System" sheetId="8" r:id="rId12"/>
  </sheets>
  <definedNames>
    <definedName name="_xlnm._FilterDatabase" localSheetId="5" hidden="1">'Digestion &amp; Liver'!$B$4:$G$4</definedName>
    <definedName name="BloatingTable">'Bloating(do not use)'!$B$1:$G$17</definedName>
    <definedName name="BloatingTable2">'Bloating(do not use)'!$B$2:$H$17</definedName>
    <definedName name="BloatingTable3">'Bloating(do not use)'!$A$2:$H$17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1" i="4" l="1"/>
  <c r="E19" i="2"/>
  <c r="F13" i="2" l="1"/>
  <c r="B7" i="2"/>
  <c r="B5" i="2" l="1"/>
  <c r="B6" i="2"/>
  <c r="B8" i="2"/>
  <c r="B9" i="2"/>
  <c r="B10" i="2"/>
  <c r="B11" i="2"/>
  <c r="B12" i="2"/>
  <c r="B13" i="2"/>
  <c r="B14" i="2"/>
  <c r="B15" i="2"/>
  <c r="B16" i="2"/>
  <c r="B17" i="2"/>
  <c r="B18" i="2"/>
  <c r="B20" i="2"/>
  <c r="C8" i="2"/>
  <c r="D8" i="2"/>
  <c r="E8" i="2"/>
  <c r="F8" i="2"/>
  <c r="G8" i="2"/>
  <c r="C9" i="2"/>
  <c r="D9" i="2"/>
  <c r="E9" i="2"/>
  <c r="F9" i="2"/>
  <c r="G9" i="2"/>
  <c r="C10" i="2"/>
  <c r="D10" i="2"/>
  <c r="E10" i="2"/>
  <c r="F10" i="2"/>
  <c r="G10" i="2"/>
  <c r="C11" i="2"/>
  <c r="D11" i="2"/>
  <c r="E11" i="2"/>
  <c r="F11" i="2"/>
  <c r="G11" i="2"/>
  <c r="C12" i="2"/>
  <c r="D12" i="2"/>
  <c r="E12" i="2"/>
  <c r="F12" i="2"/>
  <c r="G12" i="2"/>
  <c r="C13" i="2"/>
  <c r="D13" i="2"/>
  <c r="E13" i="2"/>
  <c r="G13" i="2"/>
  <c r="C14" i="2"/>
  <c r="D14" i="2"/>
  <c r="E14" i="2"/>
  <c r="F14" i="2"/>
  <c r="G14" i="2"/>
  <c r="C15" i="2"/>
  <c r="D15" i="2"/>
  <c r="E15" i="2"/>
  <c r="F15" i="2"/>
  <c r="G15" i="2"/>
  <c r="C16" i="2"/>
  <c r="D16" i="2"/>
  <c r="E16" i="2"/>
  <c r="F16" i="2"/>
  <c r="G16" i="2"/>
  <c r="C17" i="2"/>
  <c r="D17" i="2"/>
  <c r="E17" i="2"/>
  <c r="F17" i="2"/>
  <c r="G17" i="2"/>
  <c r="C18" i="2"/>
  <c r="D18" i="2"/>
  <c r="E18" i="2"/>
  <c r="F18" i="2"/>
  <c r="G18" i="2"/>
  <c r="C19" i="2"/>
  <c r="D19" i="2"/>
  <c r="F19" i="2"/>
  <c r="G19" i="2"/>
  <c r="C20" i="2"/>
  <c r="D20" i="2"/>
  <c r="E20" i="2"/>
  <c r="F20" i="2"/>
  <c r="G20" i="2"/>
  <c r="C7" i="2"/>
  <c r="D7" i="2"/>
  <c r="E7" i="2"/>
  <c r="F7" i="2"/>
  <c r="G7" i="2"/>
  <c r="C6" i="2"/>
  <c r="D6" i="2"/>
  <c r="E6" i="2"/>
  <c r="F6" i="2"/>
  <c r="G6" i="2"/>
  <c r="C5" i="2"/>
  <c r="D5" i="2"/>
  <c r="E5" i="2"/>
  <c r="F5" i="2"/>
  <c r="G5" i="2"/>
</calcChain>
</file>

<file path=xl/sharedStrings.xml><?xml version="1.0" encoding="utf-8"?>
<sst xmlns="http://schemas.openxmlformats.org/spreadsheetml/2006/main" count="3034" uniqueCount="1580">
  <si>
    <t>Health Concern</t>
  </si>
  <si>
    <t>Bloating</t>
  </si>
  <si>
    <t>Flatulence</t>
  </si>
  <si>
    <t>Poor Appetite</t>
  </si>
  <si>
    <t>Poor Digestion</t>
  </si>
  <si>
    <t>Colic (infants)</t>
  </si>
  <si>
    <t>Constipation</t>
  </si>
  <si>
    <t>Daiarrhoea</t>
  </si>
  <si>
    <t>Dyspepsia</t>
  </si>
  <si>
    <t>Select Health Concern:</t>
  </si>
  <si>
    <t>Herbs</t>
  </si>
  <si>
    <t>Actions</t>
  </si>
  <si>
    <t>Indications</t>
  </si>
  <si>
    <t>Energetic Properties</t>
  </si>
  <si>
    <t>Safety Precautions</t>
  </si>
  <si>
    <t>Therapeutic Dosage</t>
  </si>
  <si>
    <t>Angelica</t>
  </si>
  <si>
    <t>Carminative, Diaphoretic</t>
  </si>
  <si>
    <t>Warm, Aromatic</t>
  </si>
  <si>
    <t>Avoid during pregnancy and lactation</t>
  </si>
  <si>
    <t>Infusion: 2-3g dried root</t>
  </si>
  <si>
    <t>Aniseed</t>
  </si>
  <si>
    <t>Carminative</t>
  </si>
  <si>
    <t>Colic (Infants), Dyspepsia</t>
  </si>
  <si>
    <t>Use with caution in pregnancy</t>
  </si>
  <si>
    <t>Infusion: 0.5-2g crushed seeds</t>
  </si>
  <si>
    <t>Chamomile</t>
  </si>
  <si>
    <t>Carminative, Nervine</t>
  </si>
  <si>
    <t>Neutral, Bitter, Nervine</t>
  </si>
  <si>
    <t>Allergic reactions possible</t>
  </si>
  <si>
    <t>Infusion: 2-5g dried flowers</t>
  </si>
  <si>
    <t>Cinnamon</t>
  </si>
  <si>
    <t>Carminative, Astringent</t>
  </si>
  <si>
    <t>Diarrhoea, Dyspepsia</t>
  </si>
  <si>
    <t>Hot, Aromatic</t>
  </si>
  <si>
    <t>Avoid high doses during pregnancy</t>
  </si>
  <si>
    <t>Infusion: 1-4g powdered bark</t>
  </si>
  <si>
    <t>Dandelion Root</t>
  </si>
  <si>
    <t>Cholagogue, Diuretic</t>
  </si>
  <si>
    <t>Constipation, Dyspepsia</t>
  </si>
  <si>
    <t>Cool, Bitter</t>
  </si>
  <si>
    <t>Avoid in cases of bile duct obstruction</t>
  </si>
  <si>
    <t>Decoction: 2-8g dried root</t>
  </si>
  <si>
    <t>Fennel</t>
  </si>
  <si>
    <t>Infusion: 1-2g crushed seeds</t>
  </si>
  <si>
    <t>Gentian</t>
  </si>
  <si>
    <t>Bitter Tonic</t>
  </si>
  <si>
    <t>Cold, Bitter</t>
  </si>
  <si>
    <t>Avoid with gastric or duodenal ulcers</t>
  </si>
  <si>
    <t>Infusion: 2-4g dried root</t>
  </si>
  <si>
    <t>Ginger</t>
  </si>
  <si>
    <t>Infusion: 2-4g dried rhizome</t>
  </si>
  <si>
    <t>Globe Artichoke</t>
  </si>
  <si>
    <t>Cholagogue, Hepatic</t>
  </si>
  <si>
    <t>Infusion: 2-8g dried leaf</t>
  </si>
  <si>
    <t>Greater Celandine</t>
  </si>
  <si>
    <t>High doses can be toxic</t>
  </si>
  <si>
    <t>Infusion: 2-8g dried herb</t>
  </si>
  <si>
    <t>Kawakawa</t>
  </si>
  <si>
    <t>Safe for most individuals</t>
  </si>
  <si>
    <t>Infusion: 2-6g dried leaves</t>
  </si>
  <si>
    <t>Kohekohe</t>
  </si>
  <si>
    <t>Astringent</t>
  </si>
  <si>
    <t>Diarrhoea</t>
  </si>
  <si>
    <t>Cool, Astringent</t>
  </si>
  <si>
    <t>Not well-studied for safety</t>
  </si>
  <si>
    <t>Infusion: 1-2g dried leaves</t>
  </si>
  <si>
    <t>Lemon Balm</t>
  </si>
  <si>
    <t>Cool, Aromatic, Nervine</t>
  </si>
  <si>
    <t>Infusion: 2-4g dried leaves</t>
  </si>
  <si>
    <t>Milk Thistle</t>
  </si>
  <si>
    <t>Hepatoprotective</t>
  </si>
  <si>
    <t>Avoid in cases of allergy to Asteraceae family</t>
  </si>
  <si>
    <t>Infusion: 3-12g dried herb</t>
  </si>
  <si>
    <t>Peppermint</t>
  </si>
  <si>
    <t>Cool, Aromatic</t>
  </si>
  <si>
    <t>Sage</t>
  </si>
  <si>
    <t>Astringent, Antiseptic</t>
  </si>
  <si>
    <t>Infusion: 1-4g dried leaves</t>
  </si>
  <si>
    <t>Colic (Infants):</t>
  </si>
  <si>
    <t>Carminative, antispasmodic, digestive relaxant.</t>
  </si>
  <si>
    <t>Carminative, antispasmodic</t>
  </si>
  <si>
    <t> Carminative, antispasmodic,</t>
  </si>
  <si>
    <t>Carminative, digestive relaxant,</t>
  </si>
  <si>
    <t>Warming.</t>
  </si>
  <si>
    <t>Calming, gentle,soothing.</t>
  </si>
  <si>
    <t> Calming, gentle.</t>
  </si>
  <si>
    <t>Cooling, gentle.</t>
  </si>
  <si>
    <t xml:space="preserve"> Calming, gentle,soothing</t>
  </si>
  <si>
    <t>Carminative, digestive relaxant</t>
  </si>
  <si>
    <t>Constipation:</t>
  </si>
  <si>
    <t>Dandelion Root,Taraxacum officinale</t>
  </si>
  <si>
    <t>Dandelion whole plant,Taraxacum officinale</t>
  </si>
  <si>
    <t>Globe Artichoke,Cynara scolymus</t>
  </si>
  <si>
    <t>Harakeke	,Phormium tenax</t>
  </si>
  <si>
    <t>Hoheria,	Hoheria populnea</t>
  </si>
  <si>
    <t>Liquorice,Glycyrrhiza glabra</t>
  </si>
  <si>
    <t>Marshmallow,Althaea officinalis</t>
  </si>
  <si>
    <t>Milk Thistle,Silybum marianum</t>
  </si>
  <si>
    <t>Rehmannia,Rehmannia glutinosa</t>
  </si>
  <si>
    <t>Rhubarb,	Rheum rhabarbarum</t>
  </si>
  <si>
    <t>Laxative</t>
  </si>
  <si>
    <t>Laxative, hepatic, cholagogue, digestive tonic</t>
  </si>
  <si>
    <t>Laxative, bulk-forming</t>
  </si>
  <si>
    <t>Laxative, demulcent</t>
  </si>
  <si>
    <t>Digestive complaints, liver support</t>
  </si>
  <si>
    <t>Constipation, bulk-forming agent</t>
  </si>
  <si>
    <t>Digestive complaints, soothing properties</t>
  </si>
  <si>
    <t>Slippery Elm,	Ulmus rubra</t>
  </si>
  <si>
    <t>Yellow Dock,	Rumex crispus</t>
  </si>
  <si>
    <t xml:space="preserve">	Laxative</t>
  </si>
  <si>
    <t>Laxative, cholagogue, hepatic, digestive tonic</t>
  </si>
  <si>
    <t>Cooling, moistening</t>
  </si>
  <si>
    <t>Cooling, bitter</t>
  </si>
  <si>
    <t xml:space="preserve">	Cooling</t>
  </si>
  <si>
    <t xml:space="preserve">	Cooling,bitter</t>
  </si>
  <si>
    <t>Cooling</t>
  </si>
  <si>
    <t>Cooling,moistening</t>
  </si>
  <si>
    <t xml:space="preserve">	Cooling,moistening</t>
  </si>
  <si>
    <t>Colic in infants</t>
  </si>
  <si>
    <t>Aniseed,Pimpinella anisum</t>
  </si>
  <si>
    <t>Chamomile,Matricaria recutita</t>
  </si>
  <si>
    <t>Fennel,Foeniculum vulgare</t>
  </si>
  <si>
    <t>Lemon Balm,Melissa officinalis</t>
  </si>
  <si>
    <t>Peppermint,Mentha piperita</t>
  </si>
  <si>
    <t>Vervain,Verbena officinalis</t>
  </si>
  <si>
    <t>(1:2) 15-25mLs</t>
  </si>
  <si>
    <t>(1:2) 20-60mLs</t>
  </si>
  <si>
    <t>(1:2) 20-45 mLs</t>
  </si>
  <si>
    <t>(1:2) 15-50 mLs</t>
  </si>
  <si>
    <t xml:space="preserve">(1:2) 20 - 40 mLs </t>
  </si>
  <si>
    <t xml:space="preserve"> (1:2) 15 - 35mLs</t>
  </si>
  <si>
    <t xml:space="preserve"> (1:1) 20 - 40mLs</t>
  </si>
  <si>
    <t>(1:2) 25 - 60mLs</t>
  </si>
  <si>
    <t xml:space="preserve">( 1:2) 15-35 mLS </t>
  </si>
  <si>
    <t>(1:2) 15-40mLs</t>
  </si>
  <si>
    <t>(1:4) 20 - 60mLs</t>
  </si>
  <si>
    <t>(1:1) 10-30 mLs</t>
  </si>
  <si>
    <t xml:space="preserve">(1:5) 20-50 mls </t>
  </si>
  <si>
    <t>(1:1) 30-60 mLs</t>
  </si>
  <si>
    <t>Diarrhoea:</t>
  </si>
  <si>
    <t>Agrimony	Agrimonia eupatoria</t>
  </si>
  <si>
    <t>Akeake,Dodonaea viscosa</t>
  </si>
  <si>
    <t>Astringent, anti-inflammatory, antimicrobial</t>
  </si>
  <si>
    <t>Cooling, drying</t>
  </si>
  <si>
    <t>Carminative, antispasmodic, anti-inflammatory</t>
  </si>
  <si>
    <t>Calming, gentle</t>
  </si>
  <si>
    <t>Astringent, antimicrobial</t>
  </si>
  <si>
    <t>Warming</t>
  </si>
  <si>
    <t>Antimicrobial, astringent</t>
  </si>
  <si>
    <t>Astringent, anti-inflammatory</t>
  </si>
  <si>
    <t>coolimg</t>
  </si>
  <si>
    <t>warming</t>
  </si>
  <si>
    <t>(1:2) 30 - 100 mL</t>
  </si>
  <si>
    <t>(1:2) 20-50mLs</t>
  </si>
  <si>
    <t xml:space="preserve">Dyspepsia </t>
  </si>
  <si>
    <t>Cholagogue, hepatic, bitter tonic</t>
  </si>
  <si>
    <t>Carminative, digestive stimulant</t>
  </si>
  <si>
    <t>Carminative, antispasmodic, digestive stimulant</t>
  </si>
  <si>
    <t>Bitter tonic, digestive stimulan</t>
  </si>
  <si>
    <t>Carminative, antispasmodic, digestive relaxant</t>
  </si>
  <si>
    <t>Carminative, digestive stimulant, antispasmodic</t>
  </si>
  <si>
    <t>Digestive tonic, demulcent</t>
  </si>
  <si>
    <t>Carminative, digestive stimulant, anti-inflammatory</t>
  </si>
  <si>
    <t>Warming, aromatic</t>
  </si>
  <si>
    <t>Digestive discomfort, bloating, flatulence</t>
  </si>
  <si>
    <t>Digestive spasms, colic, indigestion</t>
  </si>
  <si>
    <t>Poor digestion, gallbladder support</t>
  </si>
  <si>
    <t xml:space="preserve">Nervous digestion, gastrointestinal inflammation, irritable </t>
  </si>
  <si>
    <t>Poor digestion, sluggish metabolism</t>
  </si>
  <si>
    <t>Liver support, bile flow stimulation, detoxification</t>
  </si>
  <si>
    <t xml:space="preserve"> Poor digestion, gastric inflammation, mucous membrane irritation</t>
  </si>
  <si>
    <t>Nausea, indigestion, motion sickness, inflammation</t>
  </si>
  <si>
    <t>Digestive sluggishness, liver support, dyspepsia</t>
  </si>
  <si>
    <t>Digestive spasms, gas, bloating, colic</t>
  </si>
  <si>
    <t xml:space="preserve">(1:1) 20 - 40 mL </t>
  </si>
  <si>
    <t xml:space="preserve">  </t>
  </si>
  <si>
    <t>Caution with GORD</t>
  </si>
  <si>
    <t> Carminative, antispasmodic, digestive relaxant, Anti-inflammatory</t>
  </si>
  <si>
    <t>Colic, flatulence, IBS</t>
  </si>
  <si>
    <t>N/A*</t>
  </si>
  <si>
    <t>Colic, flatulence</t>
  </si>
  <si>
    <t>Colic,Digestive &amp; gall bladder dysfunction, Gastritis, IBS, Nausea</t>
  </si>
  <si>
    <t>Contraindicated with GORD</t>
  </si>
  <si>
    <t>Cascara,	Rhamnus purshiana</t>
  </si>
  <si>
    <t>Not for long term use,Caution during pregnancy and breastfeeding, irritable bowel syndrome or inflammatory gastrointestinal condition</t>
  </si>
  <si>
    <t>Digestive dysfunction,IBS, liver support</t>
  </si>
  <si>
    <t xml:space="preserve">Avoid in cases of bile duct obstruction </t>
  </si>
  <si>
    <t xml:space="preserve">Contraindicated in pregnancy,Avoid long term use 
</t>
  </si>
  <si>
    <t>Digestive tract inflammation:IBD, Constipation, gastritis, GORD</t>
  </si>
  <si>
    <t>Contraindicated with hypertension, hypokalaemia, oedema, congestive heart failure</t>
  </si>
  <si>
    <t>Digestive complaints, soothing properties,Gastritis, GORD, Peptic Ulcer</t>
  </si>
  <si>
    <t>Take away from medications</t>
  </si>
  <si>
    <t>Dyspepsia, Gastritis, GORD, peptic ulcer, IBS, constipation</t>
  </si>
  <si>
    <t xml:space="preserve">Laxative, demulcent,
</t>
  </si>
  <si>
    <t>Choleretic,Antioxidant,Hepatotrophorestorative,Hepatoprotective</t>
  </si>
  <si>
    <t>Liver support, digestive complaints,Constipation, Digestive dysfunction, Dyspepsia, Gallstones</t>
  </si>
  <si>
    <t>Caution during pregnancy</t>
  </si>
  <si>
    <t>adrenal  tonic</t>
  </si>
  <si>
    <t>General tonification -support overall digestive health and can help regulate bowel movements indirectly</t>
  </si>
  <si>
    <t>For short term use only; Caution during pregnancy, breastfeeding; Take away from mineral supplements</t>
  </si>
  <si>
    <t>(1:2) 15-30 mLs</t>
  </si>
  <si>
    <t>Chamomile,	Matricaria recutita</t>
  </si>
  <si>
    <t>Cinnamon,	Cinnamomum verum</t>
  </si>
  <si>
    <t>Fennel,	Foeniculum vulgare</t>
  </si>
  <si>
    <t>Horopito,	Pseudowintera colorata</t>
  </si>
  <si>
    <t>Kanuka,	Kunzea ericoides</t>
  </si>
  <si>
    <t>Kohekohe,	Dysoxylum spectabile</t>
  </si>
  <si>
    <t>Koromiko,	Hebe salicifolia</t>
  </si>
  <si>
    <t>Manuka,	Leptospermum scoparium</t>
  </si>
  <si>
    <t>Meadowsweet,	Filipendula ulmaria</t>
  </si>
  <si>
    <t>Raspberry Leaf,	Rubus idaeus</t>
  </si>
  <si>
    <t>Shatavari,	Asparagus racemosa</t>
  </si>
  <si>
    <t>Tanekaha,	Phyllocladus trichomanoides</t>
  </si>
  <si>
    <t>Thyme,	Thymus vulgaris</t>
  </si>
  <si>
    <t>Witchhazel,	Hamamelis virginiana</t>
  </si>
  <si>
    <t>Aniseed ,Pimpinella anisum</t>
  </si>
  <si>
    <t>Barberry ,Berberis vulgaris</t>
  </si>
  <si>
    <t>Chamomile ,Matricaria recutita</t>
  </si>
  <si>
    <t>Cinnamon ,Cinnamomum verum</t>
  </si>
  <si>
    <t xml:space="preserve">Dandelion Root, Taraxacum officinale </t>
  </si>
  <si>
    <t>Fennel ,Foeniculum vulgare</t>
  </si>
  <si>
    <t>Fenugreek ,Trigonella foenum-graecum</t>
  </si>
  <si>
    <t>Ginger ,Zingiber officinale</t>
  </si>
  <si>
    <t>Globe Artichoke ,Cynara scolymus</t>
  </si>
  <si>
    <t>Angelica ,Angelica archangelica</t>
  </si>
  <si>
    <t>None identified</t>
  </si>
  <si>
    <t>Diarrhoea,Haemorrhoids</t>
  </si>
  <si>
    <t>Caution in pregnancy due to lack of evidence</t>
  </si>
  <si>
    <t>Diarrhoea,Abdominal bloating &amp; spasms</t>
  </si>
  <si>
    <t>Caution during pregnancy and GORD</t>
  </si>
  <si>
    <t>Diarrhoea,Poor digestion / flatulence</t>
  </si>
  <si>
    <t>flatulence,colic,dyspepsia,diarrhoea</t>
  </si>
  <si>
    <t>(1:2)10-30 mLs</t>
  </si>
  <si>
    <t xml:space="preserve">(1:2) 20 -50mls </t>
  </si>
  <si>
    <t xml:space="preserve">Antimicrobial, astringent,digestive </t>
  </si>
  <si>
    <t>Diarrhoea,Gastritis</t>
  </si>
  <si>
    <t>Avoid large doses with acute gastritis or peptic ulcers
Caution in pregnancy due to lack of evidence</t>
  </si>
  <si>
    <t>Caution with GORD - saponins can aggravate</t>
  </si>
  <si>
    <t>Caution with peptic ulcers, gallstones and during pregnancy</t>
  </si>
  <si>
    <t>Take away from meals and mineral supplements</t>
  </si>
  <si>
    <t xml:space="preserve">Diarrhoea,GIT infection or inflmmation </t>
  </si>
  <si>
    <t>Astringent, antimicrobial,Anti diarrhoeal</t>
  </si>
  <si>
    <t>Diarrhoea,IBD,IBS</t>
  </si>
  <si>
    <t>Astringent, antimicrobial,Antispasmodic,Antidiarrhoeal</t>
  </si>
  <si>
    <t>Diarrhoea, Dyspepsia, Gastritis, GORD, IBS, Peptic Ulcer</t>
  </si>
  <si>
    <t>Caution with Warfarin. Take away from mineral supplements.</t>
  </si>
  <si>
    <t>Astringent, anti-inflammatory,Antidiarrhoeal</t>
  </si>
  <si>
    <t>Caution in GORD (saponins may aggravate)</t>
  </si>
  <si>
    <t>Astringent, anti-inflammatory,Antispasmodic</t>
  </si>
  <si>
    <t>Avoid use in the first trimester of pregnancy,Take away from mineral supplements</t>
  </si>
  <si>
    <t>Take away from meals and mineral supplements
Caution in pregnancy due to lack of evidence</t>
  </si>
  <si>
    <t>Diarrhoea.IBD</t>
  </si>
  <si>
    <t>Astringent, antimicrobial,Antidiarrhoeal</t>
  </si>
  <si>
    <t xml:space="preserve">	Diarrhoea, Intestinal bleeding (Topically) Haemorrhoids</t>
  </si>
  <si>
    <t>(1:2 )15 - 30 mLs</t>
  </si>
  <si>
    <t>(1:2) 25 - 50 mLs</t>
  </si>
  <si>
    <t>(1:2) 20 - 60 mLs</t>
  </si>
  <si>
    <t>(1:4) 30 - 60 mLs</t>
  </si>
  <si>
    <t>(1:2) 15 - 40 mLs</t>
  </si>
  <si>
    <t>(1:2) 15 - 30 mLs</t>
  </si>
  <si>
    <t>(1:2) 30 - 60 mLs</t>
  </si>
  <si>
    <t>(1:2 ) 15 - 30 mLs</t>
  </si>
  <si>
    <t>(1:2 ) 15 - 40 mLs</t>
  </si>
  <si>
    <t>(1:5) 20 - 40 mLs</t>
  </si>
  <si>
    <t>(1:2) 5 - 25 mLs</t>
  </si>
  <si>
    <t>(1:2) 20-40mLs</t>
  </si>
  <si>
    <t>(1:2) 20-60 mLs</t>
  </si>
  <si>
    <t>(1:4) 20-40 mLs</t>
  </si>
  <si>
    <t>( 1:2) 25 - 50 mLs</t>
  </si>
  <si>
    <t xml:space="preserve"> (1:2) 30 - 80 mLs</t>
  </si>
  <si>
    <t xml:space="preserve">  (1:2) 5 - 15 mLs</t>
  </si>
  <si>
    <t>(1:2) 15 - 35 mLs</t>
  </si>
  <si>
    <t xml:space="preserve">20 -50 mLs (1:2) </t>
  </si>
  <si>
    <t>ANGINA</t>
  </si>
  <si>
    <t>Dong Quai,Angelica sinensis</t>
  </si>
  <si>
    <t>Ginger,Zingiber officinale</t>
  </si>
  <si>
    <t>Tienchi Ginseng Panax notoginseng</t>
  </si>
  <si>
    <t>Saffron,Crocus sativus</t>
  </si>
  <si>
    <t xml:space="preserve">Topically </t>
  </si>
  <si>
    <t>Hypotensive,Anti-inflammatory</t>
  </si>
  <si>
    <t>Avoid during pregnancy, breastfeeding, if trying to conceive, glucose-6-phosphate dehydrogenase deficiency.</t>
  </si>
  <si>
    <t>(1:2) 30-60 ml</t>
  </si>
  <si>
    <t>Cardiotonic</t>
  </si>
  <si>
    <t>Contraindicated with hypotension
and peptic ulcers</t>
  </si>
  <si>
    <t xml:space="preserve">	Cardioprotective</t>
  </si>
  <si>
    <t>Contraindicated in pregnancy,Contraindicated with anticoagulants</t>
  </si>
  <si>
    <t>(1:2) 20-80 ml</t>
  </si>
  <si>
    <t>cardiotonic,Antiplatele,Antiplatelet</t>
  </si>
  <si>
    <t>Anti-inflammatory,Antiplatelet,Peripheral circulatory stimulant</t>
  </si>
  <si>
    <t>Antiocidant,Cardioprotective,cardiotonic,hypotensive</t>
  </si>
  <si>
    <t xml:space="preserve">N/A*
</t>
  </si>
  <si>
    <t xml:space="preserve">Anti-inflammatory, hypolipidaemic </t>
  </si>
  <si>
    <t xml:space="preserve">Avoid during pregnancy.
CYP450 inhibitor may affect hepatic drug metabolism. </t>
  </si>
  <si>
    <t>(1:2)15 - 40 mL</t>
  </si>
  <si>
    <t>Peripheral vasodilator,Sedative/relaxant</t>
  </si>
  <si>
    <t>ake away from iron supplements</t>
  </si>
  <si>
    <t xml:space="preserve">hypotensive, sedative/relaxant </t>
  </si>
  <si>
    <t>antioxidant,hypotensive</t>
  </si>
  <si>
    <t>Anti-inflammatory,Antioxidant,Hypolipidemic,Hypotensive</t>
  </si>
  <si>
    <t>Antiarrhythmic,Anti-inflammatory,Cardioprotective,Hypocholesterolaemic</t>
  </si>
  <si>
    <t>Contraindicated in pregnancy,High doses may cause nervousness and sleeplessness</t>
  </si>
  <si>
    <t>Anti-inflammatory,Antioxidant,Antiplatelet,Hypolipidaemic</t>
  </si>
  <si>
    <t>Anti-arrhythmic,Sedative/relaxant</t>
  </si>
  <si>
    <t>Contraindicated during pregnancy</t>
  </si>
  <si>
    <t>(1:2) 20-60ml</t>
  </si>
  <si>
    <t xml:space="preserve">antioxidant,cardioprotective,cardiotonic hypotensive </t>
  </si>
  <si>
    <t>Angina, Arrhythmia, Hypertension, Palpitations,Promotes relaxation and reduces heart palpitations.</t>
  </si>
  <si>
    <t xml:space="preserve">(1:2)15-50 ml </t>
  </si>
  <si>
    <t>Anti-arrhythmic,Cardiotonic</t>
  </si>
  <si>
    <t> Arrhythmia, Palpitations, Helps regulate heart rhythm and reduces arrhythmia symptoms</t>
  </si>
  <si>
    <t>Cardioprotective</t>
  </si>
  <si>
    <t>Anti-inflmmatory,Antioxidant,Antioedema,Astringent,Vasoprotective</t>
  </si>
  <si>
    <t xml:space="preserve">Anti inflmmatory,Venous Tonic </t>
  </si>
  <si>
    <t>Caution with GORD (saponins may aggravate)</t>
  </si>
  <si>
    <t xml:space="preserve">(1:2) 25-50 ml </t>
  </si>
  <si>
    <t>(3:2) 30-60 ml</t>
  </si>
  <si>
    <t>Antioxidant,Cardiotonic,Circulatory Stimulant,</t>
  </si>
  <si>
    <t xml:space="preserve">Anti-inflammatory,Venous tonic </t>
  </si>
  <si>
    <t>(1:2) 20-40 ml</t>
  </si>
  <si>
    <t>Caution with GORD (saponins can aggravate)
Do not apply directly to broken skin,Caution with GORD ( (saponins can aggravate)</t>
  </si>
  <si>
    <t>(1:2) 15-40ml</t>
  </si>
  <si>
    <t>Ginkgo,Ginkgo biloba</t>
  </si>
  <si>
    <t>Crampbark,Viburnum opulus</t>
  </si>
  <si>
    <t>Withania,Withania somnifera</t>
  </si>
  <si>
    <t xml:space="preserve"> Circulatory stimulant</t>
  </si>
  <si>
    <t>antioxidant,cardiotonic,hypocholesterolaemic</t>
  </si>
  <si>
    <t xml:space="preserve">Antioxidant,cardiotonic,Circulatory stimulant </t>
  </si>
  <si>
    <t>Antioxidant,Cardioprotective,cardiotonic,hypotensive</t>
  </si>
  <si>
    <t xml:space="preserve">Anti-inflammatory, circulatory stimulant </t>
  </si>
  <si>
    <t>Anti-inflammatory,Circulatory stimulant</t>
  </si>
  <si>
    <t>Antirheumatic,Circulatory stimulant</t>
  </si>
  <si>
    <t>Anti-inflammatory,Hypocholesterolaemic,Hypolipidaemic</t>
  </si>
  <si>
    <t>Hypolipidaemic,Hepatoprotective,Hepatotrophorestorative,Hypocholesterolaemic</t>
  </si>
  <si>
    <t>Anti-inflammatory,Antioxidant</t>
  </si>
  <si>
    <t>Anti-inflammatory,Antixidant,Hypolipidaemic</t>
  </si>
  <si>
    <t>Anti-inflammatory,Sedative/relaxant</t>
  </si>
  <si>
    <t>Warming, Aromatic</t>
  </si>
  <si>
    <t>Cooling, Bitter</t>
  </si>
  <si>
    <t>Warming, Aromatic, Stimulating</t>
  </si>
  <si>
    <t>Neutral to slightly warming, Bitter</t>
  </si>
  <si>
    <t>Cooling, Sweet</t>
  </si>
  <si>
    <t>Cooling, Aromatic</t>
  </si>
  <si>
    <t>Neutral, Bitter</t>
  </si>
  <si>
    <t>Neutral</t>
  </si>
  <si>
    <t>Warming, Bitter</t>
  </si>
  <si>
    <t>Warming, Bitter, Dispersing</t>
  </si>
  <si>
    <t>Neutral to slightly cooling, Bitter</t>
  </si>
  <si>
    <t>Warming, Stimulating</t>
  </si>
  <si>
    <t>Cooling, Astringent</t>
  </si>
  <si>
    <t>Warming, Stimulating, Dispersing</t>
  </si>
  <si>
    <t>Cooling, Aromatic, Dispersing</t>
  </si>
  <si>
    <t>Neutral, Bitter, Astringent</t>
  </si>
  <si>
    <t>Neutral to slightly warming, Bitte</t>
  </si>
  <si>
    <t>Neutral, Aromatic</t>
  </si>
  <si>
    <t>Caution with heavy menstruation,Contraindicated during pregnancy</t>
  </si>
  <si>
    <t xml:space="preserve">
Caution with heavy menstruation,Contraindicated during pregnancy</t>
  </si>
  <si>
    <t>Caution with peptic ulcers and GORD</t>
  </si>
  <si>
    <t>(1:3)1-4 ml</t>
  </si>
  <si>
    <t xml:space="preserve">(1:2)5-30 ml </t>
  </si>
  <si>
    <t xml:space="preserve">Cardioprotective,Anticoagulant,Peripheral vasodilator </t>
  </si>
  <si>
    <t xml:space="preserve">(1:1)30-100mls </t>
  </si>
  <si>
    <t>(1:2)</t>
  </si>
  <si>
    <t>(1:2)5-15 ml</t>
  </si>
  <si>
    <t>(3:2) 30-60  ml</t>
  </si>
  <si>
    <t>(1:2)10-30ml</t>
  </si>
  <si>
    <t>Avoid large doses with acute gastritis or peptic ulcers,Caution in pregnancy due to lack of evidence</t>
  </si>
  <si>
    <t>(1:2) 15-50ml</t>
  </si>
  <si>
    <t xml:space="preserve">(1:2) 20-60 mls </t>
  </si>
  <si>
    <t xml:space="preserve"> Caution in pregnancy due to lack of evidence
</t>
  </si>
  <si>
    <t xml:space="preserve">(1:2) 15 - 30 ml </t>
  </si>
  <si>
    <t>(1:2)40-80ml</t>
  </si>
  <si>
    <t>(1;1) 35-90 ml</t>
  </si>
  <si>
    <t>Possible potentiation of antiplatelet effect with high doses of turmeric or curcumin</t>
  </si>
  <si>
    <t>(1:1)40-90ml</t>
  </si>
  <si>
    <t>Contraindicated with hypotension,and peptic ulcers</t>
  </si>
  <si>
    <t>(1:2)5-30 ml</t>
  </si>
  <si>
    <t xml:space="preserve">(1:1)10 -40 ml </t>
  </si>
  <si>
    <t>Diuretic</t>
  </si>
  <si>
    <t xml:space="preserve">(1:2)15-50 mls </t>
  </si>
  <si>
    <t>Sedative/relaxant</t>
  </si>
  <si>
    <t xml:space="preserve">(1:2) 15-40 mls </t>
  </si>
  <si>
    <t xml:space="preserve">Anti inflammatory,Vasodilation, diuretic </t>
  </si>
  <si>
    <t>(1:2)25-50 ml</t>
  </si>
  <si>
    <t>N/a*</t>
  </si>
  <si>
    <t>(1:2) 10-30 ml</t>
  </si>
  <si>
    <t xml:space="preserve">Anti inflmmatory,Adrenal tonic,Antioxidant </t>
  </si>
  <si>
    <t>(1:1)10-30ml</t>
  </si>
  <si>
    <t>Anti-inflammatory,Adrenal tonic</t>
  </si>
  <si>
    <t>(1:2) 20-60 mls</t>
  </si>
  <si>
    <t>(1:20 15-30 mls</t>
  </si>
  <si>
    <t>Anxiolytic,Hypnotic,Sedative/relaxant</t>
  </si>
  <si>
    <t xml:space="preserve">Anxiolytic,Hypnotic,Sedative/relaxant,Hypotensive </t>
  </si>
  <si>
    <t>(1:2) 30-80</t>
  </si>
  <si>
    <t>(1:2) 15-40mls</t>
  </si>
  <si>
    <t>Venous tonic,Anti-inflammatory</t>
  </si>
  <si>
    <t>Caution with GORD (saponins can aggravate),Do not apply directly to broken skin</t>
  </si>
  <si>
    <t>(1:2) 25-50 ml</t>
  </si>
  <si>
    <t>Do not apply directly to broken skin</t>
  </si>
  <si>
    <t xml:space="preserve">(1:1) 20-40 </t>
  </si>
  <si>
    <t>Vasoprotective,Astringent,Antioxidant,Anti-inflammatory</t>
  </si>
  <si>
    <t>N/A * - Do not apply directly to broken skin</t>
  </si>
  <si>
    <t xml:space="preserve">can be applied topically to alleviate symptoms of varicose veins, haemorrhoids </t>
  </si>
  <si>
    <t>(1:2) 15-30 ml</t>
  </si>
  <si>
    <t>(1:5)</t>
  </si>
  <si>
    <t>For external use only,Do not apply directly to broken skin</t>
  </si>
  <si>
    <t>Analgesic,Anti-inflammatory</t>
  </si>
  <si>
    <t>can be applied topically to alleviate symptoms of varicose veins,bruising</t>
  </si>
  <si>
    <t xml:space="preserve">(1:2) 10-25 mls </t>
  </si>
  <si>
    <t>can be applied topically to alleviate symptoms of haemorrhoids, varicose veins</t>
  </si>
  <si>
    <t>Anti-inflammatory,Vulnerary</t>
  </si>
  <si>
    <t xml:space="preserve">Do not apply directly to broken skin,Caution with topical use in case of allergy </t>
  </si>
  <si>
    <t>can be applied topically to alleviate symptoms of varicose veins,haemorrhoids, varicose veins, wound healing</t>
  </si>
  <si>
    <t xml:space="preserve">(1;5) 20-50 mls </t>
  </si>
  <si>
    <t>Anti-inflammatory,Astringent</t>
  </si>
  <si>
    <t>Benign Prostatic Hypertrophy (BPH):</t>
  </si>
  <si>
    <t>Cooling,</t>
  </si>
  <si>
    <t>diuretic, astringent</t>
  </si>
  <si>
    <t>Caution in individuals with autoimmune conditions</t>
  </si>
  <si>
    <t>Bladder tonic,Anti-inflammatory</t>
  </si>
  <si>
    <t xml:space="preserve">Ratio </t>
  </si>
  <si>
    <t>30-80</t>
  </si>
  <si>
    <t>30-80ml</t>
  </si>
  <si>
    <t>20-100 ml</t>
  </si>
  <si>
    <t xml:space="preserve">immune-modulating,Anti inflammatory,immune enhancer,lymphatic </t>
  </si>
  <si>
    <t>Crataeva,Crataeva nurvala</t>
  </si>
  <si>
    <t xml:space="preserve">Echinacea blend,E. purpurea &amp; E. angustifolia </t>
  </si>
  <si>
    <t>Epilobium,Epilobium parviflorum</t>
  </si>
  <si>
    <t>20-40</t>
  </si>
  <si>
    <t>astringent, anti-inflammatory, urinary tonic,Antiprostatic</t>
  </si>
  <si>
    <t xml:space="preserve">Contains tannins - take separately from mineral supplements	 </t>
  </si>
  <si>
    <t>Horsetail,Equisetum arvense</t>
  </si>
  <si>
    <t>15-45</t>
  </si>
  <si>
    <t xml:space="preserve">Nettle Root,Urtica dioica </t>
  </si>
  <si>
    <t>15-40</t>
  </si>
  <si>
    <t xml:space="preserve"> anti-inflammatory, nutritive</t>
  </si>
  <si>
    <t>Saw Palmetto,Serenoa serrulata berry</t>
  </si>
  <si>
    <t>15-30</t>
  </si>
  <si>
    <t xml:space="preserve"> anti-inflammatory,Antiprostatic</t>
  </si>
  <si>
    <t>Caution with warfarin</t>
  </si>
  <si>
    <t>Erectile Dysfunction:</t>
  </si>
  <si>
    <t>Shatavari:</t>
  </si>
  <si>
    <t>Fertility:</t>
  </si>
  <si>
    <t>Withania:</t>
  </si>
  <si>
    <t>Prostatitis:</t>
  </si>
  <si>
    <t xml:space="preserve">Warming, </t>
  </si>
  <si>
    <t>Warming, stimulating, uplifting, and strengthening.</t>
  </si>
  <si>
    <t>Cooling, drying, stimulating, and tonifying.</t>
  </si>
  <si>
    <t>stimulant, warming, and uplifting.</t>
  </si>
  <si>
    <t xml:space="preserve">Warming, uplifting, aromatic, </t>
  </si>
  <si>
    <t>astringent, and balancing.</t>
  </si>
  <si>
    <t>Cooling, nourishing, rejuvenating</t>
  </si>
  <si>
    <t>Warming,rejuvenating.</t>
  </si>
  <si>
    <t>Warming, stimulating,</t>
  </si>
  <si>
    <t>calming, grounding, and rejuvenating.</t>
  </si>
  <si>
    <t xml:space="preserve">Cooling, bitter, </t>
  </si>
  <si>
    <t>Cooling, astringent</t>
  </si>
  <si>
    <t>Cooling, soothing</t>
  </si>
  <si>
    <t>Korean Ginseng,Panax ginseng</t>
  </si>
  <si>
    <t>Adaptogen,immunomodulator,Tonic</t>
  </si>
  <si>
    <t>Caution during infection and with stimulants</t>
  </si>
  <si>
    <t>5-15ml</t>
  </si>
  <si>
    <t xml:space="preserve">Damiana,Turnera diffusa </t>
  </si>
  <si>
    <t xml:space="preserve"> 20-40</t>
  </si>
  <si>
    <t>aphrodisiac,Nervine,tonic</t>
  </si>
  <si>
    <t>30-60</t>
  </si>
  <si>
    <t>(3:2)</t>
  </si>
  <si>
    <t>circulatory stimulant,Antioxidant</t>
  </si>
  <si>
    <t>Rhodiola,Rhodiola rosea</t>
  </si>
  <si>
    <t>Adaptogen</t>
  </si>
  <si>
    <t xml:space="preserve">Adaptogen,Antioxidant </t>
  </si>
  <si>
    <t>Take away from mineral supplements,Avoid use with stimulants</t>
  </si>
  <si>
    <t>1:20,</t>
  </si>
  <si>
    <t>15-25ml</t>
  </si>
  <si>
    <t>Anti inflammatory,Antioxidant,Aphrodisiac,</t>
  </si>
  <si>
    <t>Schisandra,Schisandra chinensis</t>
  </si>
  <si>
    <t>25-60</t>
  </si>
  <si>
    <t>Contraindicated in pregnancy</t>
  </si>
  <si>
    <t>Adaptogen,Antioxidant ,Nervine</t>
  </si>
  <si>
    <t>Shatavari,Asparagus racemosa</t>
  </si>
  <si>
    <t>10-25ml</t>
  </si>
  <si>
    <t xml:space="preserve">Adaptogen,immune modulator,antiinflammatory,sedative,relaxant </t>
  </si>
  <si>
    <t xml:space="preserve">Fenugreek.Foeniculum vulgare </t>
  </si>
  <si>
    <t>20-50ml</t>
  </si>
  <si>
    <t>anti oxidant,nutrive ,anti inflammatory , Aphrodisiac,Hypoglycemic</t>
  </si>
  <si>
    <t>5-15mls</t>
  </si>
  <si>
    <t>anti-inflammatory,Antiprostatic</t>
  </si>
  <si>
    <t>Andrographis,Andrographis paniculata</t>
  </si>
  <si>
    <t xml:space="preserve">anti inflmmatory,immune enhancing,choleretic,anthelmintic </t>
  </si>
  <si>
    <t>Contraindicated in 1st trimester of pregnancy</t>
  </si>
  <si>
    <t>20-40ml</t>
  </si>
  <si>
    <t>Bearberry,Arctostaphylos uva-ursi</t>
  </si>
  <si>
    <t>Anti inflammatory,astringent,urinary antiseptic</t>
  </si>
  <si>
    <t>Contraindicated in pregnancy &amp; breastfeeding,kidney disease and children under 12 years</t>
  </si>
  <si>
    <t>Buchu,Barosma betulina</t>
  </si>
  <si>
    <t xml:space="preserve">diuretic,urinary antiseptic </t>
  </si>
  <si>
    <t>Couchgrass,Agropyron repens</t>
  </si>
  <si>
    <t>Demulcent,diuretic</t>
  </si>
  <si>
    <t xml:space="preserve"> Cooling,soothing </t>
  </si>
  <si>
    <t>40-80</t>
  </si>
  <si>
    <t xml:space="preserve">Cornsilk.Zea mays </t>
  </si>
  <si>
    <t>diuretic, Demulcent,Antilithic</t>
  </si>
  <si>
    <t>Gravelroot,Eupatorium purpureum</t>
  </si>
  <si>
    <t xml:space="preserve">Antilithic,Diuretic </t>
  </si>
  <si>
    <t>caution with warfarin</t>
  </si>
  <si>
    <t>Juniper,Juniperus communis</t>
  </si>
  <si>
    <t xml:space="preserve">urinary antiseptic,diuretic,antinflmmatory </t>
  </si>
  <si>
    <t>10-20ml</t>
  </si>
  <si>
    <t>Anaemia:</t>
  </si>
  <si>
    <t>Haemochromatosis:</t>
  </si>
  <si>
    <t>Leukopaenia:</t>
  </si>
  <si>
    <t>Thrombocytopaenia:</t>
  </si>
  <si>
    <t>Peppermint,Mentha x piperita</t>
  </si>
  <si>
    <t>indication</t>
  </si>
  <si>
    <t xml:space="preserve">Energetic Proties </t>
  </si>
  <si>
    <t xml:space="preserve">Safety precaution </t>
  </si>
  <si>
    <t>ratio</t>
  </si>
  <si>
    <t>30-60 ml</t>
  </si>
  <si>
    <t xml:space="preserve">(1:2) </t>
  </si>
  <si>
    <t>3..2</t>
  </si>
  <si>
    <t xml:space="preserve"> 40-90 ml</t>
  </si>
  <si>
    <t xml:space="preserve"> 20-80 ml</t>
  </si>
  <si>
    <t xml:space="preserve"> 30-60 ml</t>
  </si>
  <si>
    <t xml:space="preserve"> 5-15ml</t>
  </si>
  <si>
    <t xml:space="preserve"> 15-50 ml</t>
  </si>
  <si>
    <t xml:space="preserve"> 25 - 70 mL</t>
  </si>
  <si>
    <t>)15 - 40 mL</t>
  </si>
  <si>
    <t xml:space="preserve"> 20 - 40 mL</t>
  </si>
  <si>
    <t xml:space="preserve"> 25 - 50 mL</t>
  </si>
  <si>
    <t>10 - 25 mL</t>
  </si>
  <si>
    <t>: 30 - 60 mL</t>
  </si>
  <si>
    <t xml:space="preserve"> 35 - 90 mL</t>
  </si>
  <si>
    <t xml:space="preserve"> 20-60ml</t>
  </si>
  <si>
    <t xml:space="preserve">)15-50 ml </t>
  </si>
  <si>
    <t>)15 - 30 mL</t>
  </si>
  <si>
    <t>20-40 ml</t>
  </si>
  <si>
    <t>tonic</t>
  </si>
  <si>
    <t>Codonopsis,Codonopsis pilosula</t>
  </si>
  <si>
    <t>anti anaemic,Antiplatelet</t>
  </si>
  <si>
    <t>Contraindicated during pregnancy,Caution with heavy menstruation</t>
  </si>
  <si>
    <t xml:space="preserve">Nettle Leaf:Urtica dioica </t>
  </si>
  <si>
    <t>Nutritive</t>
  </si>
  <si>
    <t>35-80</t>
  </si>
  <si>
    <t xml:space="preserve">Anti anaemic </t>
  </si>
  <si>
    <t xml:space="preserve">,immune modulator </t>
  </si>
  <si>
    <t>N/a</t>
  </si>
  <si>
    <t>strengthening, Sweet, slightly bitter,Upward-moving, nourishing</t>
  </si>
  <si>
    <t>Harmonizing, invigorating,Bitter, pungent, sweet,Blood-moving, tonifying</t>
  </si>
  <si>
    <t>Restorative, nourishing,Salty, slightly bitter, Downward-moving, cleansing</t>
  </si>
  <si>
    <t>calming, rejuvenating,Bitter, astringent, sweet,Balancing, nourishing</t>
  </si>
  <si>
    <t>Anaemia ,Leukopaenia Helps improve energy levels and supports overall vitality Reduces stress, enhances vitality, supports immune health.</t>
  </si>
  <si>
    <t>Cooling, calming, Bitter, astringent,Downward-moving</t>
  </si>
  <si>
    <t>Balancing, regulating, Bitter, astringent,tonifying</t>
  </si>
  <si>
    <t>Protective, detoxifying,Bitter, slightly sweet,Cleansing, tonifying</t>
  </si>
  <si>
    <t>Strengthening, grounding Bitter, astringent Grounding, stabilizing</t>
  </si>
  <si>
    <t>Protective, strengthening Sweet Uplifting, tonifying</t>
  </si>
  <si>
    <t xml:space="preserve">bitter,balancing </t>
  </si>
  <si>
    <t>Stimulating,Bitter, slightly pungent</t>
  </si>
  <si>
    <t>Detoxifying, stimulating,bitter,cleansing</t>
  </si>
  <si>
    <t>Baical Skullcap,Scutellaria baicalensis</t>
  </si>
  <si>
    <t>Avoid use during first trimester of pregnancy</t>
  </si>
  <si>
    <t>Antioxidant,hepatoprotective Anti-inflammatory</t>
  </si>
  <si>
    <t xml:space="preserve">Hypoglycaemic </t>
  </si>
  <si>
    <t>20-70</t>
  </si>
  <si>
    <t>Gymnema,Gymnema sylvestre</t>
  </si>
  <si>
    <t xml:space="preserve">Milk Thistle,Silybum marianum </t>
  </si>
  <si>
    <t xml:space="preserve">antioxdiant ,chloeretic,Hepatoprotective,hepatotrophorestorative </t>
  </si>
  <si>
    <t>Tanekaha,Phyllocladus trichomanoides</t>
  </si>
  <si>
    <t>Take away from meals and mineral supplements,Caution in pregnancy due to lack of evidence</t>
  </si>
  <si>
    <t>Antioxidant</t>
  </si>
  <si>
    <t>Astragalus,Astragalus membranaceous</t>
  </si>
  <si>
    <t>immune enhancing,immune modulation ,tonic ,adaptogen</t>
  </si>
  <si>
    <t>Avoid use during acute infection,Caution with immunosuppressive drugs</t>
  </si>
  <si>
    <t xml:space="preserve">Cat's Claw,Uncaria tomentosa </t>
  </si>
  <si>
    <t xml:space="preserve">Supports immune system function and helps increase white blood cell count , immune deficiency ,leukopaenia </t>
  </si>
  <si>
    <t xml:space="preserve">Antixiant,Anti inflammatory,Immune Enhancer </t>
  </si>
  <si>
    <t>Contraindicated during pregnancy,Caution with immunosuppressive drugs</t>
  </si>
  <si>
    <t>30-75</t>
  </si>
  <si>
    <t>Echinacea,E. purpurea &amp; E. angustifolia</t>
  </si>
  <si>
    <t xml:space="preserve">Anti-inflammatory,immune enhancer,immune modulator ,lymphatic ,depurative </t>
  </si>
  <si>
    <t>20-100</t>
  </si>
  <si>
    <t xml:space="preserve">herb </t>
  </si>
  <si>
    <t xml:space="preserve"> lactation </t>
  </si>
  <si>
    <t xml:space="preserve">pregnancy safe </t>
  </si>
  <si>
    <t>Monitor infant for GI symptoms</t>
  </si>
  <si>
    <t>except as a galactafuge</t>
  </si>
  <si>
    <t>mointor milk production</t>
  </si>
  <si>
    <t>Avoid in first trimester</t>
  </si>
  <si>
    <t xml:space="preserve">dose low end range </t>
  </si>
  <si>
    <t>dose: low end of range</t>
  </si>
  <si>
    <t xml:space="preserve">dose low end  of range </t>
  </si>
  <si>
    <t xml:space="preserve">use sparingly </t>
  </si>
  <si>
    <t>use sparingly</t>
  </si>
  <si>
    <t xml:space="preserve">short term dose only </t>
  </si>
  <si>
    <t xml:space="preserve">do not use in first trimester </t>
  </si>
  <si>
    <t xml:space="preserve">do not use in  1st trimester </t>
  </si>
  <si>
    <t xml:space="preserve">do not use  1st trimester </t>
  </si>
  <si>
    <t xml:space="preserve">stay within dose range </t>
  </si>
  <si>
    <t xml:space="preserve">monitor  infant for sedation </t>
  </si>
  <si>
    <t xml:space="preserve">low dose only </t>
  </si>
  <si>
    <t xml:space="preserve">contrindicated do not use </t>
  </si>
  <si>
    <t xml:space="preserve">monitor infant for GI symtpoms </t>
  </si>
  <si>
    <t xml:space="preserve">mointor infant </t>
  </si>
  <si>
    <t>caution in 1st trimester</t>
  </si>
  <si>
    <t xml:space="preserve">monitor infant </t>
  </si>
  <si>
    <t xml:space="preserve">low alchol  extract </t>
  </si>
  <si>
    <t>low alchol extract</t>
  </si>
  <si>
    <t>Contraindicated in 1st trimester,dose low end 2,3 trimester</t>
  </si>
  <si>
    <t xml:space="preserve">short term low dose only </t>
  </si>
  <si>
    <t xml:space="preserve">monitor infant / use cautiously  </t>
  </si>
  <si>
    <t xml:space="preserve">mixed evidence only 1st trimester  and slowly taper dose </t>
  </si>
  <si>
    <t xml:space="preserve">&lt;0.5mL/day </t>
  </si>
  <si>
    <t xml:space="preserve">caution in 3rd trimester </t>
  </si>
  <si>
    <t>Contrindicated  in 1st trimester</t>
  </si>
  <si>
    <t xml:space="preserve">Monitor due to hormonal effect </t>
  </si>
  <si>
    <t xml:space="preserve">avoid in last month </t>
  </si>
  <si>
    <t>caution in last month</t>
  </si>
  <si>
    <t xml:space="preserve">not recommended in conception phase </t>
  </si>
  <si>
    <t>monitor infant</t>
  </si>
  <si>
    <t>dose low end range ,short term</t>
  </si>
  <si>
    <t xml:space="preserve">dose low end  of range ,short term </t>
  </si>
  <si>
    <t xml:space="preserve">low end of range in 1st trimerster </t>
  </si>
  <si>
    <t xml:space="preserve">cautiion  &gt;3ml /day </t>
  </si>
  <si>
    <t xml:space="preserve">do not exceed 3ml/day short term </t>
  </si>
  <si>
    <t>caution &gt;1.5/day</t>
  </si>
  <si>
    <t xml:space="preserve">avoid oil </t>
  </si>
  <si>
    <t xml:space="preserve">mointor milk prodcution </t>
  </si>
  <si>
    <t>Barberry,Berberis Vulgaris</t>
  </si>
  <si>
    <t xml:space="preserve">cholagogue.chloertic </t>
  </si>
  <si>
    <t>Contraindicated during pregnancy &amp; breastfeeding</t>
  </si>
  <si>
    <t>Cooling,Bitter, Astringent, Downward</t>
  </si>
  <si>
    <t>Warming,Bitter,rising ,Upward</t>
  </si>
  <si>
    <t>Cooling,Neutral,Astringent</t>
  </si>
  <si>
    <t xml:space="preserve">Cooling,Drying,Astringent,bitter,downwards </t>
  </si>
  <si>
    <t xml:space="preserve">Warming,bitter,downwards </t>
  </si>
  <si>
    <t xml:space="preserve">Warming,Sweet,uplifting </t>
  </si>
  <si>
    <t xml:space="preserve">Warming, stimulating,sweet upward </t>
  </si>
  <si>
    <t xml:space="preserve">Warming.downard, bitter </t>
  </si>
  <si>
    <t>Warming,sweet,upward</t>
  </si>
  <si>
    <t>Amenorrhoea</t>
  </si>
  <si>
    <t>Dysmenorrhoea</t>
  </si>
  <si>
    <t>Endometriosis</t>
  </si>
  <si>
    <t>Fertility</t>
  </si>
  <si>
    <t>Fibrocystic Breast</t>
  </si>
  <si>
    <t>Fibroids</t>
  </si>
  <si>
    <t>Mastalgia</t>
  </si>
  <si>
    <t>Menopause</t>
  </si>
  <si>
    <t>Menorrhagia</t>
  </si>
  <si>
    <t>Menstrual Irregularity</t>
  </si>
  <si>
    <t>Black Cohosh	Actaea racemosa</t>
  </si>
  <si>
    <t>Dong Quai Angelica sinensis</t>
  </si>
  <si>
    <t>Chaste Tree Vitex agnus-castus</t>
  </si>
  <si>
    <t>Fennel Foeniculum vulgare</t>
  </si>
  <si>
    <t>Motherwort	Leonurus cardiaca</t>
  </si>
  <si>
    <t>Black CohoshActaea racemosa</t>
  </si>
  <si>
    <t>Black Haw Viburnum prunifolium</t>
  </si>
  <si>
    <t>Blue Cohosh	Caulophyllum thalictroides</t>
  </si>
  <si>
    <t>Corydalis,Corydalis yanhusuo</t>
  </si>
  <si>
    <t>Chaste Tree,	Vitex agnus-castus</t>
  </si>
  <si>
    <t>Lady's Mantle,Alchemilla vulgaris</t>
  </si>
  <si>
    <t>Paeony,Paeonia lactiflora</t>
  </si>
  <si>
    <t>Thuja,Thuja occidentalis</t>
  </si>
  <si>
    <t>Black Cohosh (Actaea racemosa)</t>
  </si>
  <si>
    <t>Chaste Tree (Vitex agnus-castus)</t>
  </si>
  <si>
    <t>Dong Quai (Angelica sinensis)</t>
  </si>
  <si>
    <t>False Unicorn Root (Chamaelirium luteum)</t>
  </si>
  <si>
    <t>Liquorice (Glycyrrhiza glabra)</t>
  </si>
  <si>
    <t>Paeony (Paeonia lactiflora)</t>
  </si>
  <si>
    <t>Saw Palmetto (Serenoa serrulata)</t>
  </si>
  <si>
    <t>Shatavari (Asparagus racemosa)</t>
  </si>
  <si>
    <t>Wild Yam (Dioscorea villosa)</t>
  </si>
  <si>
    <t>Echinacea (Echinacea spp.)</t>
  </si>
  <si>
    <t>Thuja (Thuja occidentalis)</t>
  </si>
  <si>
    <t>Greater Celandine (Chelidonium majus)</t>
  </si>
  <si>
    <t>Lady's Mantle (Alchemilla vulgaris)</t>
  </si>
  <si>
    <t>Rosemary (Rosmarinus officinalis)</t>
  </si>
  <si>
    <t>Schisandra (Schisandra chinensis)</t>
  </si>
  <si>
    <t>Blue Cohosh (Caulophyllum thalictroides)</t>
  </si>
  <si>
    <t>Butcher's Broom (Ruscus aculeatus)</t>
  </si>
  <si>
    <t>Ginkgo (Ginkgo biloba)</t>
  </si>
  <si>
    <t>Alfalfa (Medicago sativa)</t>
  </si>
  <si>
    <t>Kava (Piper methysticum)</t>
  </si>
  <si>
    <t>Korean Ginseng (Panax ginseng)</t>
  </si>
  <si>
    <t>Kudzu (Pueraria lobata)</t>
  </si>
  <si>
    <t>Sage (Salvia officinalis)</t>
  </si>
  <si>
    <t>St. John's Wort (Hypericum perforatum)</t>
  </si>
  <si>
    <t>Shepherd's Purse (Capsella bursa-pastoris)</t>
  </si>
  <si>
    <t>Tienchi Ginseng (Panax notoginseng)</t>
  </si>
  <si>
    <t>Yarrow (Achillea millefolium)</t>
  </si>
  <si>
    <t>Cooling ,bitter,downward,soothing</t>
  </si>
  <si>
    <t>Warming/netural ,bitter,upwards</t>
  </si>
  <si>
    <t xml:space="preserve">Warming,pungent ,bitter noursing and expanding </t>
  </si>
  <si>
    <t xml:space="preserve">Amenorrhea with blood stagnation and uterine deficiency  promoting improved blood flow to the reproductive organs. It also has uterine relaxing properties, helping to relieve tension.has an affinity to blood circulation and reproductive organs </t>
  </si>
  <si>
    <t xml:space="preserve">Warming,sweet,bitter ,relaxing </t>
  </si>
  <si>
    <t xml:space="preserve">Amenorrhea with digestive issues and menstrual cramps is a carminative, helping to alleviate digestive discomfort and reduce bloating, which can indirectly impact menstrual regularity. Its antispasmodic properties can ease uterine muscle tension.tissue affintiy digestive and reproductive system </t>
  </si>
  <si>
    <t>Amenorrhea due to stress, anxiety, and uterine tension, a nervine, helping to calm the nervous system and reduce stress. Its uterine relaxant properties can ease tension in the reproductive system targets the nervous and reproductive systems, particularly addressing stress-related amenorrhea.</t>
  </si>
  <si>
    <t xml:space="preserve">Neutral cooling ,bitter and sour ,relaxing and expanding </t>
  </si>
  <si>
    <t xml:space="preserve"> Dysmenorrhea with hormonal imbalance and uterine spasms. Alleviates pain and discomfort associated with periods.Helping to alleviate uterine muscle spasms.</t>
  </si>
  <si>
    <t xml:space="preserve">Cooling,bitter,doward ,relaxing </t>
  </si>
  <si>
    <t>Dysmenorrhea with uterine cramps and muscle tension due to its uterine relaxant and antispasmodicproperties , reducing uterine muscle contractions and relieving cramping.</t>
  </si>
  <si>
    <t>Cooling,bitter,relaxes and expanding</t>
  </si>
  <si>
    <t>Eases menstrual cramps and discomfort acts as a uterine tonic and antispasmodic, toning the uterus and relieving muscle spasms..</t>
  </si>
  <si>
    <t xml:space="preserve">Cooling, bitter slightly sweet ,downward </t>
  </si>
  <si>
    <t>Dysmenorrhea with hormonal imbalances and menstrual pain Alleviates pain and discomfort associated with periods by acting on the pituitary gland, helping to balance menstrual cycles and reduce pain.</t>
  </si>
  <si>
    <t>Neutral,warm,bitter,uplifting</t>
  </si>
  <si>
    <t xml:space="preserve">Dysmenorrhea with severe pain and muscle tension has analgesic and muscle relaxant properties, easing pain and tension ,Relieves menstrual pain through its analgesic effect.Tissue affinity nervous system and muscles </t>
  </si>
  <si>
    <t xml:space="preserve">Warming,bitter,relaxing and expanding </t>
  </si>
  <si>
    <t>Supports hormonal balance and reduces inflammation in endometriosis ,affects the pituitary gland to regulate hormones, potentially addressing hormonal imbalances. It also possesses anti-inflammatory properties.Primarily affects the reproductive and endocrine systems, promoting balance.</t>
  </si>
  <si>
    <t>Reduces inflammation and pain associated with endometriosis.contains analgesic and anti-inflammatory properties, making it effective for managing pain and discomfort.Targets the nervous system and muscles, providing relief from pain.</t>
  </si>
  <si>
    <t>Reduces muscular tension and inflammation in endometriosis. an antispasmodic and contains anti-inflammatory compounds, aiding in relieving muscle tension and inflammation.Focuses on the reproductive system and muscles, alleviating discomfort.</t>
  </si>
  <si>
    <t xml:space="preserve">Cooling,bitter,relaxes,expands </t>
  </si>
  <si>
    <t>Supports hormonal balance and reduces inflammation in endometriosis.contributes to hormonal balance and exhibits anti-inflammatory effects, benefiting hormonal imbalances and inflammation.Primarily targets the reproductive and circulatory systems, promoting equilibrium.</t>
  </si>
  <si>
    <t xml:space="preserve">Warming,pungent,slightl bitter,nourishin and expanding </t>
  </si>
  <si>
    <t>Reduces inflammation and promotes circulation in endometriosis.anti-inflammatory properties manage inflammation associated with endometriosis. Its circulation-enhancing effects aid healing. Focuses on the circulatory system, supporting healing and relief.</t>
  </si>
  <si>
    <t xml:space="preserve">Warming,pungent,expanding and stimulating </t>
  </si>
  <si>
    <t>Reduces excessive bleeding and inflammation in endometriosis.astringent properties help control heavy bleeding. Its anti-inflammatory effects contribute to symptom relief. Targets the reproductive system, helping manage bleeding and inflammation.</t>
  </si>
  <si>
    <t xml:space="preserve">Cooling,bitter,contracting and relaxing </t>
  </si>
  <si>
    <t>Reduces inflammation and supports hormonal balance in endometriosis.anti-inflammatory properties and potential hormone-balancing effects contribute to symptom relief.Primarily targets the reproductive system, supporting hormonal balance and comfort.</t>
  </si>
  <si>
    <t xml:space="preserve">Cooling,bitter and slighlt sour,nourishing </t>
  </si>
  <si>
    <t>Reduces inflammation and supports healing. anti-inflammatory properties help manage inflammation linked to endometriosis. Its healing support aids in tissue recovery.Focuses on healing tissues and managing inflammation.</t>
  </si>
  <si>
    <t xml:space="preserve">cooling,slightly bitter contracting ,inwards </t>
  </si>
  <si>
    <t>Supports reproductive health and fertility.aids in hormonal balance, potentially supporting ovulation and menstrual regularity. Its adaptogenic properties can promote overall reproductive health.</t>
  </si>
  <si>
    <t>Supports reproductive health and hormonal balance.acts on the pituitary gland, promoting balanced hormone production. It's particularly beneficial for regulating menstrual cycles and supporting fertility.</t>
  </si>
  <si>
    <t>Supports reproductive health and fertility.mproves blood circulation to the reproductive organs, supporting fertility and overall reproductive health. It has tonifying effects on the uterus.</t>
  </si>
  <si>
    <t>Supports reproductive health and fertility.traditional use for promoting reproductive health and fertility. It may support overall uterine health and function.</t>
  </si>
  <si>
    <t>Neutral,cooling,slightly bitter,contracting and relaxing</t>
  </si>
  <si>
    <t>Supports hormonal balance and fertility.contains compounds that can help balance hormones by supporting the adrenal glands, which are crucial for hormonal health and fertility.Primarily affects the endocrine system, aiding in balance.</t>
  </si>
  <si>
    <t xml:space="preserve">Neutral,seet,noursihing and tonifying </t>
  </si>
  <si>
    <t>Supports reproductive health and hormonal balance.anti-inflammatory and hormonal-balancing effects support menstrual regularity and overall reproductive health, potentially enhancing fertility.</t>
  </si>
  <si>
    <t>Supports reproductive health and hormonal balance. may support hormonal balance by inhibiting the conversion of testosterone to dihydrotestosterone (DHT), potentially influencing reproductive health.</t>
  </si>
  <si>
    <t xml:space="preserve">Warming,bitter and slightly sweet ,contracting </t>
  </si>
  <si>
    <t xml:space="preserve">cooling,sweet slightly bitter,Nourishing and expanding </t>
  </si>
  <si>
    <t xml:space="preserve">neutral warm ,bitter,tonifying and nourishing </t>
  </si>
  <si>
    <t>Supports reproductive health and hormonal balance.contains compounds (sterodial saponins)  that can be converted into hormones like progesterone, which play a crucial role in supporting fertility and reproductive health.</t>
  </si>
  <si>
    <t>Supports hormonal balance and reduces symptoms.  acts on the pituitary gland to regulate hormones, potentially reducing the symptoms associated with hormonal fluctuations causing fibrocystic breasts.</t>
  </si>
  <si>
    <t xml:space="preserve">cooling,bitter,slightly pungent ,work outward ,dispersing </t>
  </si>
  <si>
    <t>Supports immune function and reduces inflammation in fibrocystic breasts.immune-enhancing properties may assist in reducing inflammation and supporting overall breast health.Primarily targets the immune system, aiding in inflammation reduction.</t>
  </si>
  <si>
    <t>Supports hormonal balance and reduces symptoms.Paeony's anti-inflammatory and hormonal-balancing effects can alleviate symptoms of hormonal imbalances contributing to fibrocystic breasts.</t>
  </si>
  <si>
    <t>Reduces inflammation and discomfort in fibrocystic breasts. anti-inflammatory properties may help manage inflammation and alleviate discomfort associated with fibrocystic breasts.</t>
  </si>
  <si>
    <t xml:space="preserve">cooling,slightly bitter,contracting and calming </t>
  </si>
  <si>
    <t>Supports hormone balance and may help manage symptoms of fibroids.on the pituitary gland, regulating hormones and potentially assisting in reducing symptoms associated with hormone-related conditions like fibroids.</t>
  </si>
  <si>
    <t>Supports immune function and may aid in managing symptoms of fibroids. immune-enhancing properties may contribute to overall health and symptom management.</t>
  </si>
  <si>
    <t>May assist in managing inflammation and discomfort associated with fibroids.contains compounds that may help manage inflammation and alleviate discomfort.can help support the liver Primarily targets affected tissues, aiding in discomfort management.</t>
  </si>
  <si>
    <t xml:space="preserve">Cooling,bitter,contracting and calming </t>
  </si>
  <si>
    <t>May support hormonal balance and alleviate symptoms of fibroids.astringent properties may help regulate excessive bleeding often associated with fibroids.</t>
  </si>
  <si>
    <t xml:space="preserve">cooling,slightly bitter ,contracting and relaxing manner </t>
  </si>
  <si>
    <t>Supports circulation and may aid in managing symptoms of fibroids.Rosemary's warming qualities enhance circulation and may contribute to comfort.</t>
  </si>
  <si>
    <t>Calendula (Calendula officinalis)</t>
  </si>
  <si>
    <t>May assist in managing inflammation and discomfort associated with fibroids due to its potential affinity for the uterus.can assit in reduce the size of fibroids it has   anti-inflammatory properties might be beneficial for managing inflammation and discomfort in the uterus, potentially helping with symptoms related to fibroids.</t>
  </si>
  <si>
    <t xml:space="preserve">Neutral,cooling downward </t>
  </si>
  <si>
    <t>Supports liver health and may aid in managing symptoms of fibroids supports liver function, potentially assisting in managing hormonal imbalances that can contribute to fibroids.Primarily targets the liver and endocrine system, promoting balance.</t>
  </si>
  <si>
    <t xml:space="preserve">neutral,sour,nourishing </t>
  </si>
  <si>
    <t xml:space="preserve"> anti-inflammatory properties may help manage inflammation and alleviate discomfort associated with fibroids.Shown to reduce the sixe of fibroids </t>
  </si>
  <si>
    <t>May help alleviate breast pain (mastalgia) associated with hormonal fluctuations.believed to possess analgesic properties that might offer relief from breast pain related to hormonal changes.Primarily targets the circulatory system, supporting potential discomfort relief.</t>
  </si>
  <si>
    <t xml:space="preserve">warming,bitter,relaxing and soothing </t>
  </si>
  <si>
    <t>May assist in improving circulation and reducing breast pain (mastalgia).circulation-enhancing effects could potentially alleviate breast pain by promoting better blood flow to the area.</t>
  </si>
  <si>
    <t>May help balance hormones and reduce breast pain (mastalgia) associated with hormonal imbalances. hormone-balancing effects might contribute to reducing breast pain linked to hormonal fluctuations.</t>
  </si>
  <si>
    <t>May help improve circulation and reduce breast pain (mastalgia).circulation-enhancing effects may assist in reducing breast pain by promoting better blood flow to the area.Targets the circulatory system and nervous system, contributing to potential discomfort relief.</t>
  </si>
  <si>
    <t xml:space="preserve">neutral cooling </t>
  </si>
  <si>
    <t>May assist in alleviating breast pain (mastalgia) due to its potential anti-inflammatory and hormone-balancing effects.contains compounds with anti-inflammatory properties that could help reduce breast pain. may support hormonal balance, which could contribute to managing pain related to hormonal fluctuations.</t>
  </si>
  <si>
    <t xml:space="preserve">   Cooling,bitter and slighlt sour,nourishing </t>
  </si>
  <si>
    <t>May provide nutrients and support overall well-being during menopause. nutrient-rich herb that may contribute to maintaining vitality and health during the menopausal transition.Provides a range of nutrients to support various bodily systems.</t>
  </si>
  <si>
    <t xml:space="preserve">Neutral/coolning,mild sweet,nourshing, supporting </t>
  </si>
  <si>
    <t>Supports hormonal balance and may alleviate menopausal symptoms.contains compounds that interact with estrogen receptors, potentially reducing hot flashes and other menopausal discomforts.Primarily targets the endocrine and reproductive systems, supporting balance.</t>
  </si>
  <si>
    <t>Supports hormonal balance and eases menopausal symptoms.acts on the pituitary gland, influencing hormonal regulation and potentially reducing menopausal discomfort.Primarily targets the endocrine system, promoting balance.</t>
  </si>
  <si>
    <t>Supports hormonal balance and may alleviate menopausal symptoms.contains phytoestrogens that can support hormonal equilibrium and address menopausal discomforts.</t>
  </si>
  <si>
    <t>Traditionally used to support reproductive health during menopause.contains steroidal saponins, such as chamaelirium and aglycone diosgenin, which are believed to have hormonal-regulating effects. Primarily targets the reproductive system, potentially supporting hormonal balance.</t>
  </si>
  <si>
    <t>May help alleviate menopausal symptoms, including hot flashes and insomnia.contain compounds that can assist in managing symptoms like hot flashes and promoting relaxation.Primarily targets the nervous system, promoting relaxation.</t>
  </si>
  <si>
    <t>Hops (Humulus lupulus):</t>
  </si>
  <si>
    <t xml:space="preserve">cooling,bitter,calming and relaxing </t>
  </si>
  <si>
    <t xml:space="preserve">cooling ,bitter, and pungent ,calming </t>
  </si>
  <si>
    <t>Traditionally used for its potential calming effects on anxiety and stress.anxiolytic properties may support emotional well-being during menopause.can also be used for anxiety in PMS  Primarily targets the nervous system, promoting relaxation.</t>
  </si>
  <si>
    <t>Supports energy and hormonal balance.an adaptogen that may provide energy and resilience during the menopausal transition.Traditionally used for energy support during times of stress.Primarily targets the energy systems of the body.</t>
  </si>
  <si>
    <t xml:space="preserve">warming,stimulating,bitter,slight seet  and tonifying </t>
  </si>
  <si>
    <t>Contains phytoestrogens that may offer hormonal support during menopause.phytoestrogen content could assist in addressing hormonal imbalances during menopause.Primarily targets the endocrine and reproductive systems.</t>
  </si>
  <si>
    <t>cooling,sweet and slightly bitter,expanding</t>
  </si>
  <si>
    <t xml:space="preserve">May support hormonal balance and alleviate menopausal symptoms.ontains astringent compounds that might assist in regulating excessive bleeding often associated with menopausemay also me useful for urinary incontience seen in post menopausal women </t>
  </si>
  <si>
    <t xml:space="preserve">cooling,astrignent,slightly bitter and contracting </t>
  </si>
  <si>
    <t>Supports hormonal balance and may alleviate menopausal symptoms.anti-inflammatory and hormonal-balancing effects could assist in managing menopausal discomfort.</t>
  </si>
  <si>
    <t>raditionally used to manage menopausal symptoms, especially hot flashes and night sweats.astringent and cooling properties may assist in managing heat-related symptoms.Primarily targets heat-related symptoms and overall equilibrium.</t>
  </si>
  <si>
    <t xml:space="preserve">cooling,drying,bitter,aromatic ,contracting </t>
  </si>
  <si>
    <t xml:space="preserve">Traditionally used for female reproductive health and hormonal balance. adaptogenic and hormone-balancing properties may support comfort during menopause.improve symtpom of low oestrogen levels ,can help low libdo </t>
  </si>
  <si>
    <t>Supports reproductive health and hormonal balance.adaptogenic herb that supports the female reproductive system by promoting hormonal balance,libido and enhancing fertility.</t>
  </si>
  <si>
    <t>Traditionally used to manage mood disturbances and emotional well-being during menopause.contains compounds that may have antidepressant and mood-stabilizing effects, which can be helpful for managing emotional symptoms associated with menopause.Primarily targets the nervous system and emotions.</t>
  </si>
  <si>
    <t>warming,uplifting,soothing</t>
  </si>
  <si>
    <t>a source of diosgenin, which can be converted into progesterone and potentially assist in hormonal balance during menopause.used for hormonal support and addressing menopausal symptoms.</t>
  </si>
  <si>
    <t>Chaste Tree's hormone-regulating effects can help balance menstrual flow and potentially reduce excessive bleeding.</t>
  </si>
  <si>
    <t>Supports menstrual flow and may reduce heavy bleeding.ontains astringent compounds that can help tone and support the uterine lining, potentially reducing heavy menstrual bleeding.Primarily targets the reproductive system and uterine tissues</t>
  </si>
  <si>
    <t>Supports menstrual flow and reduces excessive bleeding. astringent and hormonal-balancing effects might assist in reducing heavy menstrual bleeding.</t>
  </si>
  <si>
    <t>cooling.astringent,cooling,contracting</t>
  </si>
  <si>
    <t>Supports circulation and normalizes menstrual flow.circulatory effects can support overall blood flow and potentially help normalize menstrual bleeding.</t>
  </si>
  <si>
    <t xml:space="preserve">Neutral,warm,slightly bitter,stimulating and tonifying </t>
  </si>
  <si>
    <t xml:space="preserve">netural,cooling,bitter,contracting </t>
  </si>
  <si>
    <t xml:space="preserve">PMS </t>
  </si>
  <si>
    <t xml:space="preserve">Supports hormonal balance and menstrual regularity.hormone-regulating effects can assist in normalizing menstrual cycles by influencing the balance of reproductive hormones. Usueful in PMS with fuild retention ,breast pain </t>
  </si>
  <si>
    <t>Supports hormonal balance and menstrual regularity. phytoestrogens and hormonal-balancing effects can help address irregularities in the menstrual cycle.</t>
  </si>
  <si>
    <t>Supports hormonal balance and menstrual regularity. hormonal-balancing and anti-inflammatory effects might assist in regulating menstrual cycles and addressing irregularities.</t>
  </si>
  <si>
    <t>Feverfew (tanacetum pathenium )</t>
  </si>
  <si>
    <t>Traditionally used for reducing pain and managing cyclic migraines.contains compounds believed to have anti-inflammatory and prostaglandin-inhibiting effects.Targets inflammatory processes and pain pathways.</t>
  </si>
  <si>
    <t>Lavender (lavandula officinalis )</t>
  </si>
  <si>
    <t>Valerian (valerian offinalis )</t>
  </si>
  <si>
    <t xml:space="preserve">cooling,calming,soothing </t>
  </si>
  <si>
    <t>cooling,relaxing,bitter,calming</t>
  </si>
  <si>
    <t>Skullcap (scutellaria laterifolia )</t>
  </si>
  <si>
    <t>nervine and anxiolytic properties can help manage nervous tension, irritability, and anxiety related to PMS.Traditionally used for its calming effects on nervous tension and irritability during PMS.Primarily targets the nervous system and emotions.</t>
  </si>
  <si>
    <t>cooling,calming,bitter,soothing</t>
  </si>
  <si>
    <t>Withania (Withania somnifera)</t>
  </si>
  <si>
    <t>Traditionally used for its adaptogenic effects, supporting stress adaptation during PMS.adaptogenic properties can help the body manage stress and support hormonal balance during PMS.Targets the endocrine and nervous systems.</t>
  </si>
  <si>
    <t>Passionflower's compounds have relaxing and sedative properties, potentially assisting in managing anxiety and tension associated with PMS.Primarily targets the nervous system and emotions.</t>
  </si>
  <si>
    <t xml:space="preserve">netural,bitter,astrignent,balancing and tonifying </t>
  </si>
  <si>
    <t xml:space="preserve">cooling,calming,bitter </t>
  </si>
  <si>
    <t>Passionflower (passionflor incarnata )</t>
  </si>
  <si>
    <t xml:space="preserve">St. John's Wort ( Hypericum perforatum) </t>
  </si>
  <si>
    <t xml:space="preserve"> Saffron ( Crocus sativus ) </t>
  </si>
  <si>
    <t>Traditionally used for its potential mood-enhancing effects during PMS.contains compounds that may have mood-enhancing effects, helping to manage emotional symptoms like irritability and mood swings associated with PMS.Primarily targets the nervous system and emotions.</t>
  </si>
  <si>
    <t>Hormonal balance, digestive support.</t>
  </si>
  <si>
    <t xml:space="preserve">PCOS </t>
  </si>
  <si>
    <t xml:space="preserve">overian cyst </t>
  </si>
  <si>
    <t xml:space="preserve">paeonia lactiflore </t>
  </si>
  <si>
    <t xml:space="preserve">normalise follucular development effecton aromastase enzyme and may prevetnt cyst formation </t>
  </si>
  <si>
    <t xml:space="preserve">useful when stress and nervous tension acomany pcos , reduces LH with contiune use reduction of adrogen in pcos </t>
  </si>
  <si>
    <t xml:space="preserve"> Potential improvement in androgenic alopecia, useful in hirsutism associated with PCOS.has androgen-modulating effects and may improve hair loss and excessive hair growth related to excess androgens.</t>
  </si>
  <si>
    <t xml:space="preserve"> Smilax spp. (Sarsaparilla):</t>
  </si>
  <si>
    <t xml:space="preserve"> May potentially block androgen effects in conditions like PCOS.elieved to have anti-androgenic effects, which could be beneficial in conditions where excess androgens play a role.</t>
  </si>
  <si>
    <t xml:space="preserve">Turnera aphrodisiaca (Damiana): </t>
  </si>
  <si>
    <t>May potentially block androgen effects in conditions like PCOS.believed to have anti-androgenic effects, which could be beneficial in conditions where excess androgens play a role.</t>
  </si>
  <si>
    <t>Glycyrrhiza glabra (Licorice):</t>
  </si>
  <si>
    <t>Supports hormonal balance, inhibits androgen production, aids in estrogen balance in PCOS.contains compounds that can inhibit androgen production and support hormonal balance.</t>
  </si>
  <si>
    <t>Galega officinalis (Goat's Rue):</t>
  </si>
  <si>
    <t xml:space="preserve"> Potential improvement in glucose tolerance.may support blood sugar regulation and improve glucose tolerance.Primarily targets metabolic and endocrine systems.</t>
  </si>
  <si>
    <t xml:space="preserve">hormone modulating </t>
  </si>
  <si>
    <t>hormone modulating ,antioxidant ,anti inflamatory Uterine tonic</t>
  </si>
  <si>
    <t xml:space="preserve">contrindicated in pregnacy,lactation  caution with oestorgen senstive tumours </t>
  </si>
  <si>
    <t xml:space="preserve">hormonal imbalance and menstrual irregularities.- helping to regulate hormonal balance by influencing estrogen receptors. It also has antispasmodic properties, which can alleviate uterine muscle tension. Dysmenorrhoea,menopause Premenstrual syndrome </t>
  </si>
  <si>
    <t>Dopaminergic,Prolactin inhibitor,Progesterogenic (indirectly)</t>
  </si>
  <si>
    <t xml:space="preserve">may aggravate pure spasmodic dysmenorrhoea not associated with PSM ,caution advise in 1st trimestor of pregnacy slowly taper off </t>
  </si>
  <si>
    <t>Hormonal imbalances and luteal phase defects.acts on the pituitary gland, promoting the release of luteinizing hormone (LH) and thus supporting proper hormonal balance. Has a affinity for pitutiary gland and ovaries -</t>
  </si>
  <si>
    <t>5-20ml</t>
  </si>
  <si>
    <t xml:space="preserve">Uterine tonic, antiplatelet anti inflmatory </t>
  </si>
  <si>
    <t xml:space="preserve">constraindicated during pregnacy , caution with heavy menstruation </t>
  </si>
  <si>
    <t>30-60ml</t>
  </si>
  <si>
    <t>emmenagogue,nervine,antispasmodic</t>
  </si>
  <si>
    <t>15-30ml</t>
  </si>
  <si>
    <t xml:space="preserve">caution during pregnacy </t>
  </si>
  <si>
    <t xml:space="preserve">Ueterine antispasmodic,astringent </t>
  </si>
  <si>
    <t>N/A</t>
  </si>
  <si>
    <t>10-30ml</t>
  </si>
  <si>
    <t xml:space="preserve">Antispasmodic,Emmenagogue,Ovarian tonic,uterine tonic </t>
  </si>
  <si>
    <t xml:space="preserve">contraindicated during laction and pregnacy </t>
  </si>
  <si>
    <t xml:space="preserve">Analgesic,Antispasmodic Sedative,relaxant </t>
  </si>
  <si>
    <t>20-60ml</t>
  </si>
  <si>
    <t xml:space="preserve">Anti spasmodic,Astringent ,anti inflamaotry ,sedative </t>
  </si>
  <si>
    <t>5-30ml</t>
  </si>
  <si>
    <t xml:space="preserve">Anti inflammatory,Antispasmodic,Digestive,carminative,peripheral circulatory </t>
  </si>
  <si>
    <t xml:space="preserve">caution with peptic ulcer,gallstone and pregnacy </t>
  </si>
  <si>
    <t xml:space="preserve">anti haemorrhagic,ant inflmmatory,astringent </t>
  </si>
  <si>
    <t>25-50ml</t>
  </si>
  <si>
    <t>25-50,l</t>
  </si>
  <si>
    <t>N.A*</t>
  </si>
  <si>
    <t>Anti inflammatory,Antispasmmodic,Oestrogen modulator,Skeletal muscle relaxant ,</t>
  </si>
  <si>
    <t>25-75ml</t>
  </si>
  <si>
    <t>25-75</t>
  </si>
  <si>
    <t xml:space="preserve">Anti inflammatory </t>
  </si>
  <si>
    <t xml:space="preserve">Anti inflamatory </t>
  </si>
  <si>
    <t xml:space="preserve">contrindicated in pregnacy,lactation  </t>
  </si>
  <si>
    <t>contrindicated in pregnacy,laction</t>
  </si>
  <si>
    <t xml:space="preserve">Turmeric , Curcuma longa </t>
  </si>
  <si>
    <t>Anti inflammatory,antioxidant ,</t>
  </si>
  <si>
    <t>Turmeric contains curcumin, which has anti-inflammatory properties and may help alleviate pain associated with endometriosis.have potential benefits in reducing adhesions Primarily targets inflammatory processes and pain pathways.</t>
  </si>
  <si>
    <t xml:space="preserve">warming ,pungent </t>
  </si>
  <si>
    <t>35-90ml</t>
  </si>
  <si>
    <t xml:space="preserve">uterine tonic,ovarian tonic,oestrogen modulating </t>
  </si>
  <si>
    <t>15-40ml</t>
  </si>
  <si>
    <t>15-40ml/wk</t>
  </si>
  <si>
    <t>anti inflammatory,adrenal tonic,spasmolytic</t>
  </si>
  <si>
    <t>adaptogen,female sexual tonic,antispasmodic,</t>
  </si>
  <si>
    <t xml:space="preserve">caution in GORD </t>
  </si>
  <si>
    <t xml:space="preserve">anti inflamtory,anti spasmolytic,oestrogen modulating </t>
  </si>
  <si>
    <t xml:space="preserve">ant inflammatory,immune enhancer,immune modulator,lymphatic </t>
  </si>
  <si>
    <t>n/A*</t>
  </si>
  <si>
    <t>20-100ml</t>
  </si>
  <si>
    <t>Avoid long term use</t>
  </si>
  <si>
    <t>antioxidant,cirulatory stimulant,hepatoprotective</t>
  </si>
  <si>
    <t xml:space="preserve">take away from mineral supplements </t>
  </si>
  <si>
    <t>war</t>
  </si>
  <si>
    <t xml:space="preserve">warming, stimulation aromatic </t>
  </si>
  <si>
    <t xml:space="preserve">adaptogen,antioxidant,nervine ,heapatoprotective </t>
  </si>
  <si>
    <t>contranidicated in pregnacy</t>
  </si>
  <si>
    <t>25-60ml</t>
  </si>
  <si>
    <t>anti inflammatory ,haemostatic</t>
  </si>
  <si>
    <t xml:space="preserve">caution with topical -allergy </t>
  </si>
  <si>
    <t xml:space="preserve">Anti inflammatory,venous tonic </t>
  </si>
  <si>
    <t>caution with GORD</t>
  </si>
  <si>
    <t xml:space="preserve">antioxidant,circulatory stimulant ,adaptogen ,anxiolytic,tissue perfusion enhancer </t>
  </si>
  <si>
    <t xml:space="preserve">bitter,antispamodic,hynotic,oestrogen modulator </t>
  </si>
  <si>
    <t>10-25mls</t>
  </si>
  <si>
    <t xml:space="preserve">anxiolytic,hypnotic,sedative,skeletal muscle relaxant </t>
  </si>
  <si>
    <t>Caution in pregnancy, breastfeeding, Parkinson's Disease or liver disease</t>
  </si>
  <si>
    <t>Actions (Why?)</t>
  </si>
  <si>
    <t>hormone modulating ,antioxidant ,anti inflamatory Uterine tonic,antispasmodic</t>
  </si>
  <si>
    <t>Antihaemorrhagic,Astringent</t>
  </si>
  <si>
    <t>Menorrhagia, Metrorrhagia Supports menstrual flow and reduces heavy bleeding.known for its hemostatic properties, which can help reduce excessive menstrual bleeding.</t>
  </si>
  <si>
    <t>caution in pregnacy and breastfedding</t>
  </si>
  <si>
    <t>30-90ml</t>
  </si>
  <si>
    <t>Antihaemorrhagic,Anti-inflammatory</t>
  </si>
  <si>
    <t xml:space="preserve">Contrainicared in pregnacy,high doses may cause nervousness and sleepessness </t>
  </si>
  <si>
    <t>Menorrhagia,Supports normal menstrual flow and reduces bleeding due to the herbal actions it can help tone and reduce heavy menstrual bleeding.</t>
  </si>
  <si>
    <t xml:space="preserve">Anti-inflammatory,Antihaemorrhagic,Antispasmodic,astringent </t>
  </si>
  <si>
    <t>Anti inflammatory,emmenagogue,</t>
  </si>
  <si>
    <t>caution during pregnancy ,contraindicated in known sensitivty to feverfew /compositae family</t>
  </si>
  <si>
    <t>anxiolytic,carminative,</t>
  </si>
  <si>
    <t>Anxiety,depression,insomina Traditionally used for its calming and soothing effects during PMS.  potentially assisting in managing mood and stress-related symptoms associated with PMS.Primarily targets the nervous system and emotions.</t>
  </si>
  <si>
    <t xml:space="preserve">anxiolytic,hypnotic,sedative/relaxant </t>
  </si>
  <si>
    <t>PMS Traditionally used for its calming and sedative effects during PMS.have sedative and anxiolytic effects, helping to manage stress, anxiety, and sleep disturbances associated with PMS.Primarily targets the nervous system, promoting relaxation.</t>
  </si>
  <si>
    <t>15-50ml</t>
  </si>
  <si>
    <t>Nervine,sedative,relaxant</t>
  </si>
  <si>
    <t>adaptogen,sedative/relaxant,</t>
  </si>
  <si>
    <t>20-50</t>
  </si>
  <si>
    <t xml:space="preserve">Antidepressant anxiolytic,hypnotic,sedative/relaxant </t>
  </si>
  <si>
    <t>PMS,Menopause,Anxiety,depression Traditionally used for managing mood disturbances and emotional well-being during PMS.contains compounds with potential antidepressant and mood-stabilizing effects, assisting in managing emotional symptoms associated with PMS.Primarily targets the nervous system and emotions.</t>
  </si>
  <si>
    <t xml:space="preserve">Nervine tonic ,emmenagogue Analgesic,anti inflammatory,antioxidant,neruo protective </t>
  </si>
  <si>
    <t xml:space="preserve">do not use in pregnacy or likely to become pregant </t>
  </si>
  <si>
    <t xml:space="preserve">provides relief of dysmennorhoea ,supports normal menstruation and contain compounds to suppport mood and irritablity assocaited with PMS </t>
  </si>
  <si>
    <t xml:space="preserve">warming,uplifting,soothing </t>
  </si>
  <si>
    <t xml:space="preserve">do not use in pregnancy or likely to become pregant </t>
  </si>
  <si>
    <t>Saw Palmetto (Serenoa repens )</t>
  </si>
  <si>
    <t xml:space="preserve">Anti inflammatory ,antiadrogenic ,antispasmodic </t>
  </si>
  <si>
    <t xml:space="preserve">anti androgenic ,anti inflamatory </t>
  </si>
  <si>
    <t xml:space="preserve">caution with GORD </t>
  </si>
  <si>
    <t>25-60m</t>
  </si>
  <si>
    <t xml:space="preserve">nervine,general tonic ,thymoleptic, anti adrogenic </t>
  </si>
  <si>
    <t xml:space="preserve">antidiabetic,hypoglycaemic </t>
  </si>
  <si>
    <t>cooling,drying,</t>
  </si>
  <si>
    <t xml:space="preserve">caution with insulin or diabetic mediction </t>
  </si>
  <si>
    <t>gymnema (gymema sylvestre )</t>
  </si>
  <si>
    <t xml:space="preserve">May aid in blood sugar regulation,Potential support for blood sugar regulation.helpful to combat sugar cravings  and aid in weight loss </t>
  </si>
  <si>
    <t>netural,cooling</t>
  </si>
  <si>
    <t>20-70ml</t>
  </si>
  <si>
    <t xml:space="preserve">Fenugreek (trignoella foenum gracum) </t>
  </si>
  <si>
    <t>anti inflamtory ,hypoglycaemic ,hypolipidamic</t>
  </si>
  <si>
    <t>ontains compounds that may help improve insulin sensitivity, potentially assisting in better blood sugar control Primarily targets metabolic and endocrine systems, specifically focusing on insulin-related pathways.</t>
  </si>
  <si>
    <t>warming,</t>
  </si>
  <si>
    <t xml:space="preserve">Hops (humulus) </t>
  </si>
  <si>
    <t xml:space="preserve">Antispasmodic,oestorgen modulator ,bitter ,hypnotic sedative </t>
  </si>
  <si>
    <t>cooling,calming,bitter</t>
  </si>
  <si>
    <t xml:space="preserve">False unicorn root chamalirium luteum </t>
  </si>
  <si>
    <t>Potential effects on hormonal balance and reproductive health could contribute to supporting normal follicular development and reducing the likelihood of cyst formation.</t>
  </si>
  <si>
    <t xml:space="preserve"> Cooling,bitter and slighlt sour,nourishing </t>
  </si>
  <si>
    <t xml:space="preserve">adaptogen,cognition enhancer ,tonic </t>
  </si>
  <si>
    <t xml:space="preserve">caution during infection with stimulants </t>
  </si>
  <si>
    <t>anti inflammatory,hepatoprotecitve,hypoglycaemic,neuroprotective,phytoestrogen</t>
  </si>
  <si>
    <t xml:space="preserve">avoid in pregnacy,CYP450 inhibitor </t>
  </si>
  <si>
    <t>25-70ml</t>
  </si>
  <si>
    <t xml:space="preserve">Antioxidant,antispasmodic,antihidotic </t>
  </si>
  <si>
    <t xml:space="preserve">contrindicated in pregnacy,lactation  except ot inhibt milk flow </t>
  </si>
  <si>
    <t xml:space="preserve">Fatigue,Anemia -helps the body adapt to stressors. It can improve energy levels by supporting adrenal function, enhancing oxygen utilization, and increasing the body's overall resilience to fatigue.upports red blood cell production </t>
  </si>
  <si>
    <t xml:space="preserve"> ,Anaemia,Endometriosis,Menstrual irrgeularity, - ontains iron and vitamins that help increase hemoglobin levels, improving oxygen transport and addressing anemia. It also supports blood circulation, enhancing the delivery of nutrients and oxygen to tissues.</t>
  </si>
  <si>
    <t>ich in iron and other nutrients essential for red blood cell production. Its high iron content supports hemoglobin synthesis, helping to alleviate anemia. It also enhances iron absorption and prevents iron deficiency.</t>
  </si>
  <si>
    <t xml:space="preserve"> help mitigate oxidative stress and inflammation associated with haemochromatosis.Supports antioxidant defenses and inflammation reduction, contributing to managing haemochromatosis-related issues.</t>
  </si>
  <si>
    <t xml:space="preserve"> contribute to maintaining balanced blood sugar levels, which could be relevant in managing haemochromatosis-associated metabolic concerns. affintiy for digestive system and pancreas </t>
  </si>
  <si>
    <t xml:space="preserve">Haemochromatosis,liver damage,insulin resistance,diabetes  active compound, silymarin, may assist in protecting the liver from oxidative stress, potentially beneficial in managing haemochromatosis. has an affinity for liver and gallbladder </t>
  </si>
  <si>
    <t xml:space="preserve"> antioxidant compounds could contribute to managing oxidative stress associated with haemochromatosis.
</t>
  </si>
  <si>
    <t>enhancing the production of white blood cells and other immune cells. It acts as an immune modulator, helping to restore immune balance and strengthen immune responses. support the body's resilience to stress, which can indirectly contribute to immune health.</t>
  </si>
  <si>
    <t>leukopaenia,immune deficincy Reduces stress, enhances vitality, supports immune health it regulate immune responses, preventing overactivity or underactivity. By balancing immune cell production and activity, Withania contributes to overall immune system health,</t>
  </si>
  <si>
    <t>supporting liver and gallbladder function. It contains berberine, a bioactive compound that may influence blood clotting factors which   potential effect  blood clotting and circulation.</t>
  </si>
  <si>
    <t>immune dysfuncion ,ennlarge lymph nodes acute &amp; chronic infection by stimulate immune cells, such as macrophages and lymphocytes, enhancing their activity. It helps trigger a cascade of immune responses, leading to increased production of white blood cells. Echinacea also supports lymphatic circulation, aiding the movement of immune cells throughout the body.</t>
  </si>
  <si>
    <t>soothing the bladder and urinary tract,help manage inflammation in the prostate and urinary tract. potentially reducing urinary discomfort often associated with BPH.Tissue Affinity: Urinary system</t>
  </si>
  <si>
    <t>Supports immune function can contribute to managing inflammation. By reducing inflammation, Echinacea may help alleviate discomfort related to BPH.</t>
  </si>
  <si>
    <t>help tonify and tighten tissues, potentially affecting the prostate and urinary structures. Can help reducing inflammation in the prostate, supporting overall prostate health,has affinity Urinary system, Prostate</t>
  </si>
  <si>
    <t xml:space="preserve">Prostatitis, BPH due to it ability to assist in reducing fluid retention, potentially easing urinary symptoms. Its  tones and strengthen urinary structures, including the prostate. Has affintiy to the urinary system and bones </t>
  </si>
  <si>
    <t xml:space="preserve">contains compounds that can inhibit the enzyme responsible for converting testosterone into dihydrotestosterone (DHT), a hormone implicated in BPH. By reducing DHT levels, nettle root may help prevent prostate tissue growth. ,tissue affinity for the blood and kidneys </t>
  </si>
  <si>
    <t xml:space="preserve">BPH, Prostatitis,Fertility ,nhibiting the enzyme 5-alpha-reductase, which converts testosterone into DHT. By reducing DHT levels, saw palmetto can prevent excessive prostate tissue growth and alleviate urinary symptoms..tissue affinty prostate &amp; reprodcutive system </t>
  </si>
  <si>
    <t xml:space="preserve">	Anxiety, nervous depletion enhance nitric oxide (NO) production, which can promote relaxation of blood vessels and increase blood flow to the genital area. This improved blood circulation can contribute to better erectile functioTissue affinity for nervous system and reproductive system </t>
  </si>
  <si>
    <t>mprove blood flow by enhancing vasodilation and increasing nitric oxide production. This increased blood flow can positively impact erectile function by improving the ability of the blood vessels to supply the genital area with oxygen and nutrients. Tissue Affinity: Circulatory system, Brain</t>
  </si>
  <si>
    <t xml:space="preserve">	Male infertility, erectile dysfunction help regulate the hypothalamic-pituitary-adrenal (HPA) axis, reducing stress hormone levels. Improved stress response can alleviate psychological factors contributing to erectile dysfunction. Ginsenosides in Korean Ginseng can also improve nitric oxide synthesis and vasodilation.</t>
  </si>
  <si>
    <t>erectile dysfuncion,Adrenal depletion s influence the HPA axis, reducing stress hormone secretion. This can lead to improved mood and mental well-being, positively affecting sexual function.has an effects on neurotransmitters like serotonin and dopamine may also contribute to sexual health.</t>
  </si>
  <si>
    <t>Supports sexual health and assists in managing erectile dysfunction By improving mood and reducing stress,  may indirectly contribute to improved sexual function. Tissue Affinity: Nervous system, Heart , reproductive system</t>
  </si>
  <si>
    <t xml:space="preserve"> support the body's stress response systems. It can enhance physical endurance and mental resilience, which can positively influence sexual performance and satisfaction.</t>
  </si>
  <si>
    <t>Male fertility, Contains phytoestrogens that can help regulate hormonal balance. By impacting  testosterone levels and improve reproductive health. By addressing hormonal imbalances, shatavari may support erectile function.</t>
  </si>
  <si>
    <t>Male Fertility, Erectile Dysfunction, modulation of stress-related hormone levels, which can enhance resilience to stress and anxiety. This may indirectly contribute to improved sexual performance by reducing psychological barriers.</t>
  </si>
  <si>
    <t>compounds like diosgenin that may influence hormonal balance by modulating insulin sensitivity and androgen levels. Improved insulin sensitivity can positively affect reproductive health, and balanced androgens can support sperm production and overall fertility.</t>
  </si>
  <si>
    <t>regulate the hypothalamic-pituitary-adrenal (HPA) axis, potentially affecting reproductive hormones.  can modulate sex hormone levels, which may impact sperm quality and fertility.</t>
  </si>
  <si>
    <t>BPH, Prostatitis,Fertility  inhibition of 5-alpha-reductase can reduce the conversion of testosterone to DHT, promoting hormonal balance. This can be relevant to maintaining prostate health and supporting healthy sperm production.</t>
  </si>
  <si>
    <t>Male fertilityassists in managing erectile dysfunction.potential effects on hormonal balance may contribute to sperm production and quality.</t>
  </si>
  <si>
    <t>it can  influence stress-related hormones and may improve stress resilience. Stress reduction can positively impact reproductive hormones, including testosterone, which is crucial for sperm production and male fertility.</t>
  </si>
  <si>
    <t xml:space="preserve">Assists in managing prostate inflammation and supports prostatitis management </t>
  </si>
  <si>
    <t>cystitis,kidney stones,prostatitiscontains arbutin, which is metabolized into hydroquinone, a compound with antimicrobial properties. It may help combat bacterial infections that contribute to prostatitis.</t>
  </si>
  <si>
    <t>Supports urinary tract health and assists in managing prostatitis, cystitis due to reducing inflammation and infection associated with prostatitis.</t>
  </si>
  <si>
    <t>help flush the urinary tract and potentially alleviate urinary discomfort associated with prostatitis. Its soothing properties may also contribute to symptom relief.</t>
  </si>
  <si>
    <t>provide soothing effects to the urinary tract. Its aids in flushing the urinary system and potentially alleviating prostatitis symptoms.</t>
  </si>
  <si>
    <t xml:space="preserve"> enhance the body's defense mechanisms against infections associated with prostatitis. Its reduces inflamation  which can contribute to symptom relief.</t>
  </si>
  <si>
    <t>Assists in reducing urinary discomfort and supports prostatitis management, kindey stones due to its ability to  flush out  the urinary tract, potentially reducing discomfort caused by prostatitis</t>
  </si>
  <si>
    <t>Supports urinary tract health and assists in managing prostatitis, assists in managing BPH. It promoties the elimination of toxins and pathogens. It also helps with inflamation which  may contribute to symptom relief.</t>
  </si>
  <si>
    <t>helping to combat infections contributing to prostatitis. Its also aid in flushing the urinary tract.</t>
  </si>
  <si>
    <t xml:space="preserve">Inhibit enzymes that contribute to the growth of prostate cells, potentially impacting prostate enlargement. </t>
  </si>
  <si>
    <t xml:space="preserve"> inhibition of 5-alpha-reductase and anti-inflammatory effects may help manage symptoms of prostatitis by reducing inflammation and potentially impacting prostate growth.</t>
  </si>
  <si>
    <t>: 20-40</t>
  </si>
  <si>
    <t>Active compounds like charantin and polypeptide-P in bitter melon may influence factors involved in blood pressure regulation, contributing to its hypotensive properties also due to reducing inflammation, which is often associated with heart health issues.</t>
  </si>
  <si>
    <t>increase cyclic AMP levels, which may relax blood vessels and improve blood flow. This mechanism could potentially alleviate angina symptoms.</t>
  </si>
  <si>
    <t xml:space="preserve"> contains tanshinones and salvianolic acids . These compounds may help improve blood flow and protect cardiovascular health, potentially aiding angina management.</t>
  </si>
  <si>
    <t>Helps regulate blood pressure and improves circulation These effects could potentially alleviate angina symptoms..</t>
  </si>
  <si>
    <t>The compounds in ginger -gingerols  improve blood flow, potentially relieving chest pain associated with angina.</t>
  </si>
  <si>
    <t>flavonoids and procyanidins have vasodilatory effects, potentially improving blood flow to the heart. It may also support heart health by reducing oxidative stress and enhancing nitric oxide production.</t>
  </si>
  <si>
    <t xml:space="preserve"> contains isoflavones that may enhance blood vessel dilation and improve blood flow which contribute to managing angina symptoms.</t>
  </si>
  <si>
    <t>mprove blood flow and regulate heart rate may be due to its impact on autonomic nervous system activity. It could contribute to angina management by enhancing cardiovascular function.</t>
  </si>
  <si>
    <t>Angina,Hypertension - Helps reduce inflammation and supports heart health which inturn  support blood vessel health and alleviate angina symptoms.</t>
  </si>
  <si>
    <t>Cardiovascular diseases Helps reduce chest pain and improves blood flow.due to effects on endothelial function potentially aiding in angina management.</t>
  </si>
  <si>
    <t>Angina,Arrhymia,Hypocholesterolaemia nhance blood circulation and reduce blood clot formation may contribute to cardiovascular health. These effects could help manage angina symptoms.</t>
  </si>
  <si>
    <t xml:space="preserve"> Cardiovascular protection ,Supports cardiovascular health and reduces inflammation. support blood vessel health and cardiovascular function, potentially benefiting angina management.</t>
  </si>
  <si>
    <t xml:space="preserve">Arrhythmia / Palpitations , Helps regulate heart rhythm and reduces arrhythmia symptoms by influencing cardiac ion channels and neurotransmitter systems. </t>
  </si>
  <si>
    <t xml:space="preserve"> flavonoids and procyanidins may enhance blood vessel dilation and improve blood flow, potentially supporting cardiac function and reducing arrhythmia. Its potential effects on ion channels could also contribute to helong irregular heart rhythms </t>
  </si>
  <si>
    <t xml:space="preserve">Angina, Arrhythmia, Hypertension, Palpitations Promotes relaxation of blood vessels and reduces blood pressure influence heart health by modulating ion channels and enhancing blood vessel relaxation. </t>
  </si>
  <si>
    <t xml:space="preserve">enhance blood circulation and reduce blood clot formation may contribute to cardiovascular health. Its effects on blood flow and circulation </t>
  </si>
  <si>
    <t> Haemorrhoids,vericose veins ,brusing,capillary fragility contains anthocyanins that may strengthen capillaries and improve microcirculation. Its potential antioxidant effects could also contribute to capillary health by reducing oxidative stress.</t>
  </si>
  <si>
    <t> Haemorrhoids,vericose veins ,brusing,capillary fragility ,Supports supporting blood vessel tone and reducing capillary fragility. It may also help reduce inflammation and improve circulation.</t>
  </si>
  <si>
    <t xml:space="preserve">	Poor circulation, varicose veins, capillary fragility,flavonoids and terpenoids may improve blood flow, enhancing oxygen and nutrient delivery to tissues. This could potentially strengthen capillaries and reduce their fragility.</t>
  </si>
  <si>
    <t>Varicose veins, capillary fragility, haemorrhoids, bruisincontains triterpenoids that may support connective tissue health and collagen production. This could contribute to strengthening capillaries and reducing their susceptibility to damage.</t>
  </si>
  <si>
    <t> Varicose veins, capillary fragility, haemorrhoids, bruising has been shown to improve capillary wall integrity by reducing inflammation and enhancing blood flow. It may also have vasoconstrictive effects that support vein health.</t>
  </si>
  <si>
    <t xml:space="preserve">	Poor circulation,Raynaud's,contains capsaicin that may enhance blood flow by dilating blood vessels and improving circulation. Its warming effects could also support peripheral circulation and alleviate symptoms of Raynaud's syndrome.</t>
  </si>
  <si>
    <t>Supports blood circulation and reduces symptoms of Raynaud's Syndrome improved blood flow and circulation. It may also help relax smooth muscles, potentially supporting overall vascular health.</t>
  </si>
  <si>
    <t>upport blood vessel health by reducing oxidative stress and inflammation. These effects could potentially improve circulation and alleviate symptoms of Raynaud's syndrome.</t>
  </si>
  <si>
    <t>improve blood flow and support vascular health. These properties could potentially help manage symptoms of Raynaud's syndrome.</t>
  </si>
  <si>
    <t>Hypertension,Hypercholesterolaemia , allicin and other sulfur compounds have potential vasodilatory effects that could improve blood circulation. Its ability to enhance nitric oxide production may contribute to improved vascular function.</t>
  </si>
  <si>
    <t>gingerols have vasodilatory and anti-inflammatory effects that could enhance blood flow and circulation. Its warming properties may also alleviate symptoms associated with Raynaud's syndrome.</t>
  </si>
  <si>
    <t>lavonoids and terpenoids improve blood flow by dilating blood vessels and enhancing oxygen delivery. Its potential antioxidant effects could also protect blood vessels and support vascular health.</t>
  </si>
  <si>
    <t xml:space="preserve"> flavonoids and procyanidins enhance blood vessel dilation and improve circulation. Its potential effects on blood pressure and cardiac function may also contribute to improved vascular health.</t>
  </si>
  <si>
    <t> Circulatory insufficiency, Raynaud's syndrome,improving blood flow and circulation. Its potential to improve blood vessel function could contribute to managing Raynaud's syndrome.</t>
  </si>
  <si>
    <t xml:space="preserve">	contains polyphenols that may support blood vessel health and improve circulation. Its potential anti-inflammatory effects could also alleviate symptoms of Raynaud's syndrome.</t>
  </si>
  <si>
    <t>Hypotenstion,poor circulation,Varicose Veins,Haemorrhoids stimulate blood flow and improve circulation may be attributed to its constituents like alkaloids. Its warming effects could also support peripheral circulation.</t>
  </si>
  <si>
    <t>Supports cardiovascular function helps improve blood circulation, reduce oxidative stress, and support heart health by enhancing blood vessel function.</t>
  </si>
  <si>
    <t>llicin and other sulfur compounds have potential vasodilatory effects that may improve blood flow and reduce blood pressure. Its antioxidant properties could also contribute to heart health by reducing oxidative stress.</t>
  </si>
  <si>
    <t>flavonoids and procyanidins may enhance blood vessel dilation and improve circulation. Its potential effects on cardiac contractility and blood pressure could support heart function and alleviate symptoms of heart failure.</t>
  </si>
  <si>
    <t>Cardiovascular conditions, Heart failure contains compounds like marrubiin that may have potential vasodilatory and cardiotonic effects. These properties could contribute to improving blood flow and cardiac function in cases of heart failure.</t>
  </si>
  <si>
    <t>Helps regulate cholesterol levels due to  it potential to influence lipid metabolism could contribute to managing hypercholesterolemia.</t>
  </si>
  <si>
    <t xml:space="preserve"> contains soluble fiber and saponins that may help reduce cholesterol absorption and improve lipid metabolism. Its potential effects on bile acid synthesis and absorption could contribute to managing healthy cholesterol levels.</t>
  </si>
  <si>
    <t xml:space="preserve">	Hypercholesterolaemia,Helps lower cholesterol levels and promotes heart health. allicin and other sulfur compounds may help lower cholesterol levels by reducing cholesterol synthesis and improving lipid metabolism. Its antioxidant effects could also contribute to cardiovascular health.</t>
  </si>
  <si>
    <t>increase bile production and improve cholesterol metabolism. Its potential to enhance cholesterol excretion could contribute to managing hypercholesterolemia.</t>
  </si>
  <si>
    <t>Atherosclerosis,Cardiovascular disease,Helps reduce LDL cholesterol and supports cardiovascular health polyphenols, especially punicalagins, may have antioxidant and lipid-lowering effects. They could potentially inhibit cholesterol synthesis and reduce oxidative stress</t>
  </si>
  <si>
    <t>improve blood circulation and reduce blood clot formation may contribute to cardiovascular health. Its effects on lipid metabolism and antioxidant properties could support cholesterol levels and improves cardiovascular health</t>
  </si>
  <si>
    <t>active compound, curcumin, may have lipid-lowering effects by inhibiting cholesterol synthesis and enhancing cholesterol excretion. Its potential anti-inflammatory effects could also contribute to cardiovascular health.</t>
  </si>
  <si>
    <t xml:space="preserve"> modulate lipid metabolism and reduce oxidative stress could contribute to managing hypercholesterolemia. Its adaptogenic effects may also indirectly support cardiovascular health.</t>
  </si>
  <si>
    <t>Hypertension,Angina,Helps lower blood pressure.improving lipid metabolism and reducing cholesterol levels. These compounds could potentially inhibit cholesterol synthesis and improve lipid profiles.</t>
  </si>
  <si>
    <t xml:space="preserve"> antispasmodic effects on smooth muscle, potentially leading to relaxation of blood vessels and contributing to lower blood pressure.</t>
  </si>
  <si>
    <t xml:space="preserve"> contains compounds like tanshinones that may improve blood circulation and have vasodilatory effects. These properties could potentially help manage hypertension.</t>
  </si>
  <si>
    <t>hypertension, Supports healthy blood pressure levels. rich in potassium, which can help regulate fluid balance and support healthy blood pressure levels by promoting sodium excretion.</t>
  </si>
  <si>
    <t>allicin and other sulfur compounds may contribute to vasodilation and improving blood flow. Its potential to relax blood vessels could support managing hypertension.</t>
  </si>
  <si>
    <t xml:space="preserve"> flavonoids may enhance blood vessel dilation and improve blood circulation. Its potential effects on blood pressure regulation and cardiovascular health could help manage hypertension.</t>
  </si>
  <si>
    <t>Promotes relaxation and helps lower blood pressure. potential to relax smooth muscle. This relaxation could contribute to reducing blood pressure.</t>
  </si>
  <si>
    <t>shown potential vasodilatory effects by enhancing nitric oxide production. This mechanism could contribute to blood pressure regulation.</t>
  </si>
  <si>
    <t xml:space="preserve"> elax smooth muscle and reduce stress and anxiety may indirectly help manage hypertension by promoting relaxation and reducing sympathetic nervous system activity.</t>
  </si>
  <si>
    <t xml:space="preserve"> flavonoids may contribute to vasodilation and relax smooth muscle, potentially leading to lower blood pressure.</t>
  </si>
  <si>
    <t>Helps increase blood pressure and improves circulation. flavonoids and terpenoids may have vasodilatory effects and improve blood circulation. These properties could potentially help raise blood pressure in cases of hypotension.</t>
  </si>
  <si>
    <t>Helps raise blood pressure and supports adrenal function contains glycyrrhizin, which can increase sodium reabsorption and water retention, leading to an increase in blood pressure. .</t>
  </si>
  <si>
    <t>ontains compounds that may stimulate blood flow and improve circulation. Its potential to enhance blood vessel tone could contribute to raising blood pressure.</t>
  </si>
  <si>
    <t>contains iridoid glycosides that may help regulate blood pressure. It has been used traditionally to tonify the blood and support circulatory function, potentially aiding in hypotension.</t>
  </si>
  <si>
    <t>potential to calm the nervous system and reduce stress could indirectly help manage palpitations.</t>
  </si>
  <si>
    <t>potential to support cardiovascular health. Its antioxidant and vasodilatory effects could contribute to managing palpitations</t>
  </si>
  <si>
    <t xml:space="preserve"> improve blood circulation and relax smooth muscles could indirectly contribute to managing palpitations by promoting cardiovascular well-being.</t>
  </si>
  <si>
    <t>flavonoids have vasodilatory and cardio-protective effects. Its potential to improve blood flow and enhance heart function could help manage palpitations.</t>
  </si>
  <si>
    <t xml:space="preserve"> potential to relax smooth muscles and promote relaxation could contribute to managing stress-related palpitations.</t>
  </si>
  <si>
    <t>traditionally used for heart-related issues. Its potential to relax blood vessels, support heart function, and calm the nervous system could contribute to managing palpitations.</t>
  </si>
  <si>
    <t>Aneixty,Palpitations, Calms the nervous system potential to reduce anxiety and promote relaxation could help manage palpitations triggered by stress.</t>
  </si>
  <si>
    <t>Anexity,Stress,Hypertension,palpitations,Night sweats ,support relaxation and sleep. Its potential calming effects could help manage palpitations associated with anxiety and stress.</t>
  </si>
  <si>
    <t>Bruising,capillary fragility,haemorrhoids,vericose veins ,support blood vessel tone and reduce inflammation. Its vasoconstrictive properties could help alleviate symptoms associated with thrombophlebitis.</t>
  </si>
  <si>
    <t>Varicose veins, capillary fragility, haemorrhoids, bruising triterpenoids that may enhance collagen production and improve blood circulation. Its potential to support connective tissue health and vascular function could aid in managing thrombophlebitis..</t>
  </si>
  <si>
    <t>Varicose veins/insufficiency,haemorrhoids,capillary fragility ,bruising , strengthen blood vessel walls and reduce inflammation. Its effects on improving venous circulation could contribute to managing thrombophlebitis.</t>
  </si>
  <si>
    <t>Brusing,Capillary fraglility ,Haemorrhoids,Vearicose veins ,anthocyanins may have antioxidant and vasoprotective effects, potentially supporting blood vessel health and circulation. This could aid in managing varicose veins.</t>
  </si>
  <si>
    <t>Bruising,capillary fragility,haemorrhoids,vericose veins ,help tone blood vessels and reduce inflammation. Its potential to improve vein function and alleviate swelling could support varicose vein management.</t>
  </si>
  <si>
    <t>improves blood circulation and supports vein health. flavonoids and terpenoids have been studied for their potential to enhance blood circulation and strengthen blood vessels</t>
  </si>
  <si>
    <t> Varicose veins, capillary fragility, haemorrhoids, bruising,triterpenoids may support connective tissue health and enhance collagen production. Its potential effects on strengthening blood vessel walls and improving circulation could aid in managing varicose veins.</t>
  </si>
  <si>
    <t>Supports cardiovascular health and improves blood flow. flavonoids may have vasodilatory and cardio-protective effects. Its potential to improve blood flow and enhance heart function could support overall cardiovascular health, potentially helping with varicose veins.</t>
  </si>
  <si>
    <t>Varicose veins ,venous insufficiency,haemorrhoids,capillary fragility potential to strengthen blood vessels and reduce inflammation. Its effects on improving venous tone and reducing swelling could aid in varicose vein management.</t>
  </si>
  <si>
    <t>Supports blood circulation and reduces discomfort in varicose veins. improve blood circulation and stimulate blood flow could contribute to managing varicose veins by reducing stagnation and improving venous tone.</t>
  </si>
  <si>
    <t>Supports vein health and improves blood circulatio.  support blood vessel health and reduce inflammation could aid in managing varicose veins.</t>
  </si>
  <si>
    <t xml:space="preserve">Acne </t>
  </si>
  <si>
    <t>Antimicrobial, anti-inflammatory.</t>
  </si>
  <si>
    <t>inhibiting the growth of acne-causing bacteria on the skin,reduces redness and swelling associated with acne lesions, promoting quicker healing and improved skin appearance.</t>
  </si>
  <si>
    <t xml:space="preserve">bitter,cooling </t>
  </si>
  <si>
    <t>antimicrobial, anti-inflammatory.</t>
  </si>
  <si>
    <t xml:space="preserve">Slgiht bitter,warming </t>
  </si>
  <si>
    <t>help strengthen the immune response and alleviate inflammation commonly seen in acne-prone skin.</t>
  </si>
  <si>
    <t>specifically target the inflammatory processes involved in acne, potentially reducing redness and discomfort.</t>
  </si>
  <si>
    <t>antimicrobial, anti-inflammatory.anagesic</t>
  </si>
  <si>
    <t xml:space="preserve"> Antimicrobial, anti-inflammatory.immune modulating </t>
  </si>
  <si>
    <t>antibacterial compounds that can combat the growth of Propionibacterium acnes, a bacterium associated with acne development.</t>
  </si>
  <si>
    <t>berberine content can inhibit the growth of bacteria and reduce inflammation, potentially improving the overall appearance of acne-prone skin.</t>
  </si>
  <si>
    <t>blood purifier and mild diuretic may help detoxify the body, which can indirectly contribute to a reduction in acne breakouts.</t>
  </si>
  <si>
    <t xml:space="preserve">anti inflmatory,valunery </t>
  </si>
  <si>
    <t>soothe irritated skin and promote the healing of acne lesions, minimizing scarring.</t>
  </si>
  <si>
    <t>may aid in hormonal balance by regulating the menstrual cycle and reducing androgen excess, making it beneficial for hormonal acne management.</t>
  </si>
  <si>
    <t>lympaatic,diuretic</t>
  </si>
  <si>
    <t>support the body's natural detoxification process, potentially leading to clearer skin.</t>
  </si>
  <si>
    <t>reducing dihydrotestosterone (DHT) levels, may help manage androgen-driven acne.</t>
  </si>
  <si>
    <t>modulate hormonal levels, particularly by reducing excess androgens, can be beneficial for individuals with hormonal acne.</t>
  </si>
  <si>
    <t xml:space="preserve">sweet,cooling  </t>
  </si>
  <si>
    <t xml:space="preserve">deperative,diuretic </t>
  </si>
  <si>
    <t>cooling</t>
  </si>
  <si>
    <t xml:space="preserve">prolactin inhibtor,dopaminergic agonist </t>
  </si>
  <si>
    <t xml:space="preserve">can effect hormone in the body ,may aggravate spasmoic dysmenorhhoea not associated with pms caution in pregancy only under professional supervision </t>
  </si>
  <si>
    <t>6-30ml</t>
  </si>
  <si>
    <t xml:space="preserve">antiandogenic ,anti infmmatory </t>
  </si>
  <si>
    <t xml:space="preserve">supervison suggestion during pregnacy and laction </t>
  </si>
  <si>
    <t xml:space="preserve">Anti inflammatory ,hormone modulating </t>
  </si>
  <si>
    <t>supervson suggestion during pregnacy and laction ,Sodium picosulphate &amp;other stimulant laxatives;</t>
  </si>
  <si>
    <t xml:space="preserve"> soothe inflamed skin, alleviate redness, and reduce the inflamation . Its impact on the adrenal glands is significant in the context of acne management.</t>
  </si>
  <si>
    <t xml:space="preserve">Anti inflmatory, adrenal tonic </t>
  </si>
  <si>
    <t xml:space="preserve">Contraindicated with hypertension, hypokalaemia, oedema, congestive heart failure,not to be taken for a prolonged period of time </t>
  </si>
  <si>
    <t>bitter ,cooling</t>
  </si>
  <si>
    <t>warming,bitter,slight pungent</t>
  </si>
  <si>
    <t>cooling ,sweet,</t>
  </si>
  <si>
    <t>warming,slightly sweet</t>
  </si>
  <si>
    <t>cooling ,bitter</t>
  </si>
  <si>
    <t>neutral ,sweet</t>
  </si>
  <si>
    <t xml:space="preserve">boils </t>
  </si>
  <si>
    <t>anticaterial,antinflmmatory</t>
  </si>
  <si>
    <t xml:space="preserve"> help combat the bacterial infection that often underlies boils, while also reducing the associated inflammation.</t>
  </si>
  <si>
    <t>cooling,bitter</t>
  </si>
  <si>
    <t xml:space="preserve">immune enhancing </t>
  </si>
  <si>
    <t xml:space="preserve">support the body's immune response, aiding in the clearance of bacterial infections that  lead to boils </t>
  </si>
  <si>
    <t xml:space="preserve">immnoomodulating </t>
  </si>
  <si>
    <t xml:space="preserve">stimulate the immune system, helping the body better fight off infections, including those causing boils.help with inflmation and redness </t>
  </si>
  <si>
    <t>provide relief from the pain and discomfort associated with boils. It also aids in reducing localized inflammation.</t>
  </si>
  <si>
    <t xml:space="preserve">slightly bitter,warming </t>
  </si>
  <si>
    <t>supports the immune system. In cases where viral infections contribute to boils, it may help address the underlying infection.</t>
  </si>
  <si>
    <t xml:space="preserve">anti vrial </t>
  </si>
  <si>
    <t xml:space="preserve">demulcent </t>
  </si>
  <si>
    <t>soothing qualities. It can reduce inflammation and soothe the skin around boils, providing relief.</t>
  </si>
  <si>
    <t xml:space="preserve">cooling ,norshing </t>
  </si>
  <si>
    <t xml:space="preserve">lymphatic tonic,anti inflamatory </t>
  </si>
  <si>
    <t>assist in draining lymphatic fluid, reducing inflammation, and promoting healing in the area of the boil.</t>
  </si>
  <si>
    <t xml:space="preserve">warming </t>
  </si>
  <si>
    <t xml:space="preserve">antimicrobial,depurative </t>
  </si>
  <si>
    <t>help combat bacterial infections in boils and promote healing.</t>
  </si>
  <si>
    <t xml:space="preserve">brusing </t>
  </si>
  <si>
    <t>Arnica (Arnica montana):</t>
  </si>
  <si>
    <t>Anti-inflammatory, analgesic</t>
  </si>
  <si>
    <t>ability to reduce inflammation and relieve pain associated with bruises. It can help accelerate the healing process.(topically )</t>
  </si>
  <si>
    <t>Comfrey (Symphytum officinale):</t>
  </si>
  <si>
    <t>Demulcent, anti-inflammatory</t>
  </si>
  <si>
    <t>help reduce swelling and discomfort caused by bruising. It supports tissue repair.</t>
  </si>
  <si>
    <t>Butcher's Broom (Ruscus aculeatus):</t>
  </si>
  <si>
    <t>Vasoconstrictor, anti-inflammatory</t>
  </si>
  <si>
    <t>contains compounds that may help constrict blood vessels, reducing the severity of bruises and preventing further leakage of blood into tissues.</t>
  </si>
  <si>
    <t>Bilberry (Vaccinium myrtillus):</t>
  </si>
  <si>
    <t>Antioxidant, anti-inflammatory</t>
  </si>
  <si>
    <t>antioxidant properties can strengthen blood vessels and reduce inflammation, potentially preventing and minimizing bruising.</t>
  </si>
  <si>
    <t>Gotu Kola (Centella asiatica):</t>
  </si>
  <si>
    <t>Circulatory tonic, anti-inflammatory</t>
  </si>
  <si>
    <t>Horse Chestnut (Aesculus hippocastanum):</t>
  </si>
  <si>
    <t>Venous tonic , anti-inflammatory</t>
  </si>
  <si>
    <t>strengthen blood vessel walls and improve circulation, potentially reducing the likelihood of bruising.</t>
  </si>
  <si>
    <t>supports healthy circulation and can help improve blood vessel integrity, reducing the risk of easy bruising.</t>
  </si>
  <si>
    <t>netural</t>
  </si>
  <si>
    <t>Chilblains:</t>
  </si>
  <si>
    <t>Stimulant, circulatory tonic</t>
  </si>
  <si>
    <t>stimulate circulation and improve blood flow. It can be helpful for conditions like poor circulation and may promote healing.</t>
  </si>
  <si>
    <t>heating</t>
  </si>
  <si>
    <t>Circulatory stimulant, anti-inflammatory</t>
  </si>
  <si>
    <t xml:space="preserve">can help improve circulation. It also has anti-inflammatory properties, making it useful for conditions where inflammation contributes to circulatory  issues </t>
  </si>
  <si>
    <t>Circulatory enhancer, neuroprotective</t>
  </si>
  <si>
    <t>enhance circulation, particularly in the brain and extremities. It may be used to improve memory and cognitive function.</t>
  </si>
  <si>
    <t xml:space="preserve">neutral </t>
  </si>
  <si>
    <t>Antimicrobial, circulatory support</t>
  </si>
  <si>
    <t xml:space="preserve">promoting blood flow to the affected areas and providing relief from chilblains. </t>
  </si>
  <si>
    <t xml:space="preserve">vasodilatory </t>
  </si>
  <si>
    <t xml:space="preserve">circultory stimulant ,analgesic </t>
  </si>
  <si>
    <t>known for its ability to stimulate circulation and alleviate pain. It can be used for conditions where poor circulation is a concern.</t>
  </si>
  <si>
    <t>Cold Sores (Herpes simplex):</t>
  </si>
  <si>
    <t>Immune stimulant, Antiviral, Anti-inflammatory</t>
  </si>
  <si>
    <t>stimulates the immune system and possesses antiviral properties, which can help combat the herpes simplex virus. It also has anti-inflammatory effects, aiding in reducing discomfort</t>
  </si>
  <si>
    <t xml:space="preserve"> Cooling, Aromatic, Expanding</t>
  </si>
  <si>
    <t>Antiviral, Antimicrobial, Anti-inflammatory</t>
  </si>
  <si>
    <t xml:space="preserve"> help combat the herpes simplex virus and reduce the risk of infection. It also possesses anti-inflammatory effects, aiding in symptom relief. </t>
  </si>
  <si>
    <t>Antiviral, Nervine, Anti-inflammatory,anagestic</t>
  </si>
  <si>
    <t xml:space="preserve">has antiviral properites ,support the nervous system in time of stress or discomort its painrelieving and helps with inflamation assosiated with herpes simplex virus </t>
  </si>
  <si>
    <t xml:space="preserve">warming,bitter,uplifting </t>
  </si>
  <si>
    <t>anti inflamatory,vulneary</t>
  </si>
  <si>
    <t>help reduce inflammation, relieve discomfort, and support the healing process.</t>
  </si>
  <si>
    <t>antiviral, anti-inflammatory, .vulneray</t>
  </si>
  <si>
    <t>can help inhibit the herpes simplex virus, reduce inflammation, and soothe the affected area.</t>
  </si>
  <si>
    <t>Cooling, Moistening</t>
  </si>
  <si>
    <t xml:space="preserve"> can help reduce the duration and severity of outbreaks and provide relief from discomfort.</t>
  </si>
  <si>
    <t xml:space="preserve">cooling,drying </t>
  </si>
  <si>
    <t>Eczema:</t>
  </si>
  <si>
    <t>Baical Skullcap</t>
  </si>
  <si>
    <t>Blue Flag</t>
  </si>
  <si>
    <t xml:space="preserve">Anti-inflammatory,,depurative </t>
  </si>
  <si>
    <t>can help reduce inflammation in the skin and promote the removal of toxins that may contribute to eczema. Energetically  helps  soothes  and balancing skin with excess inflammation.</t>
  </si>
  <si>
    <t>help reduce the inflammatory response in the skin associated with eczema. It also possesses calming and soothing effects, which can alleviate the discomfort and itching often experienced with eczema</t>
  </si>
  <si>
    <t>cooling ,moistening</t>
  </si>
  <si>
    <t xml:space="preserve">help modulate the immune response in the skin and reduce inflammation, which is a hallmark of eczema. </t>
  </si>
  <si>
    <t>supports the body's elimination of toxins that can exacerbate eczema. By assisting the body in detoxification, it indirectly helps improve skin health</t>
  </si>
  <si>
    <t>n clearing toxins and reducing inflammation. By enhancing lymphatic drainage, it indirectly helps alleviate skin issues like eczema.</t>
  </si>
  <si>
    <t xml:space="preserve">strengthens the immune system's response, assisting the body in managing eczema triggers. </t>
  </si>
  <si>
    <t xml:space="preserve">contains anti-inflammatory compounds that help reduce skin irritation and inflammation. It can soothe the discomfort associated with eczema and promote skin healing. </t>
  </si>
  <si>
    <t>contains compounds like polyphenols and flavonoids that help reduce skin inflammation and irritation, making it beneficial for eczema.</t>
  </si>
  <si>
    <t>can help reduce skin inflammation associated with eczema. It has soothing properties that provide relief from itching and discomfort.</t>
  </si>
  <si>
    <t>offers immediate relief from itching and inflammation associated with eczema. It forms a soothing, protective layer on the skin, helping to reduce irritation</t>
  </si>
  <si>
    <t xml:space="preserve">cooling ,moistening,calming </t>
  </si>
  <si>
    <t>contains flavonoids and triterpenoids with anti-inflammatory properties that help reduce skin inflammation. Calendula also promotes tissue repair, making it beneficial for healing eczema-related skin damage.</t>
  </si>
  <si>
    <t>Rehmannia (Rehmannia glutinosa)</t>
  </si>
  <si>
    <t xml:space="preserve">astrigent </t>
  </si>
  <si>
    <t>help regulate excessive sweating, particularly night sweats associated with hormonal imbalances. It tightens and tones tissues, reducing fluid loss and sweating.</t>
  </si>
  <si>
    <t>Astringent, Antiperspirant</t>
  </si>
  <si>
    <t>effectively reduce excessive sweating by constricting sweat glands. can be applied topically or consumed to manage conditions involving excessive sweating, such as hyperhidrosis.</t>
  </si>
  <si>
    <t xml:space="preserve">Ziziphus Jujuba </t>
  </si>
  <si>
    <t>astringent</t>
  </si>
  <si>
    <t>helps control excessive sweating. By tightening and toning the skin, it can reduce sweat production. Zizyphus preparations are traditionally used to manage conditions like night sweats and hot flashes.</t>
  </si>
  <si>
    <t>cooling,drying</t>
  </si>
  <si>
    <t>warming,drying</t>
  </si>
  <si>
    <t>Hyperhidrosis(excessive sweating).</t>
  </si>
  <si>
    <t>Fungal infections:</t>
  </si>
  <si>
    <t>Antifungal, Immune modulating</t>
  </si>
  <si>
    <t xml:space="preserve">contains active compounds like andrographolides that possess antifungal properties. It also supports the immune system, enhancing the body's ability to fight fungal infections. </t>
  </si>
  <si>
    <t>Antifungal</t>
  </si>
  <si>
    <t>attributed to its aromatic compounds. These compounds can disrupt the cell membranes of fungi, inhibiting their growth. Additionally, its warming and drying qualities help create an unfavorable environment for fungal proliferation.</t>
  </si>
  <si>
    <t>warming ,drying</t>
  </si>
  <si>
    <t>contains berberine, which has potent antifungal properties. Berberine disrupts the structure of fungal cells, preventing their growth. It also supports the immune system</t>
  </si>
  <si>
    <t>Antifungal, Immune</t>
  </si>
  <si>
    <t>berberine content makes it an effective antifungal agent. Berberine disrupts fungal cell membranes, inhibiting their proliferation. Also support the immune system which enhancing the body's ability to combat fungal infections.</t>
  </si>
  <si>
    <t>contains polygodial, a compound with strong antifungal properties. Polygodial disrupts fungal cell walls, leading to their destruction. It effectively combats a wide range of fungal infections, including Candida overgrowth.</t>
  </si>
  <si>
    <t>known for its antifungal action, particularly against Candida species. It contains compounds that disrupt fungal cell membranes, inhibiting their growth. Additionally, it supports the immune system's response to fungal infections</t>
  </si>
  <si>
    <t xml:space="preserve"> inhibiting fungal growth and multiplication. Additionally, it supports the immune system, aiding in the body's defense against fungal pathogens.</t>
  </si>
  <si>
    <t>properties are attributed to thymol, which disrupts fungal cell membranes and inhibits their growth. The aromatic compounds in thyme create an unfavorable environment for fungal proliferation.</t>
  </si>
  <si>
    <t xml:space="preserve">warming ,drying,aromatic </t>
  </si>
  <si>
    <t>Antifungal, Antimicrobial, Immune support</t>
  </si>
  <si>
    <t xml:space="preserve">potent antifungal herb due to its active compound allicin. It can help combat various fungal infections, including candidiasis and athlete's foot. It can also help to eliminate excess moisture which contibute to fungal growth </t>
  </si>
  <si>
    <t xml:space="preserve">antifungal,antibacterial </t>
  </si>
  <si>
    <t>contains the compound carvacrol, which has strong antifungal properties. It can be used internally or topically to combat fungal infections, including oral thrush and yeast infections.</t>
  </si>
  <si>
    <t>Antifungal, Antiparasitic</t>
  </si>
  <si>
    <t>contain compounds like juglone, which exhibit antifungal properties. It can be used internally or topically to address fungal infections, including Candida overgrowth</t>
  </si>
  <si>
    <t>Pau d'Arco</t>
  </si>
  <si>
    <t>Antifungal, Immunomodulating</t>
  </si>
  <si>
    <t>inner bark contains compounds like lapachol, known for their antifungal properties. It can help combat various fungal infections, including Candida</t>
  </si>
  <si>
    <t>topically</t>
  </si>
  <si>
    <t>can disrupt fungal cell membranes and inhibit their growth. Additionally, its skin-soothing properties help alleviate itching and discomfort associated with fungal infections.</t>
  </si>
  <si>
    <t xml:space="preserve">anti fungal </t>
  </si>
  <si>
    <t>It can disrupt fungal cell membranes and inhibit their growth when applied topically. Calendula's soothing properties provide relief from itching and inflammation associated with fungal infections.</t>
  </si>
  <si>
    <t>disrupt fungal cell membranes, inhibiting their growth when applied topically. Additionally, its skin-soothing qualities help alleviate discomfort and irritation.</t>
  </si>
  <si>
    <t>Antifungal, Antiseptic</t>
  </si>
  <si>
    <t>It can disrupt fungal cell membranes, leading to their destruction. Tea Tree Oil is effective in treating various fungal skin infections, including athlete's foot and ringworm.</t>
  </si>
  <si>
    <t xml:space="preserve">Nappy rash </t>
  </si>
  <si>
    <t xml:space="preserve">Anti inflamtory,valunery </t>
  </si>
  <si>
    <t xml:space="preserve">cooling,moistening </t>
  </si>
  <si>
    <t xml:space="preserve">Anti inflamaotry,astrigent </t>
  </si>
  <si>
    <t xml:space="preserve">cooling drying </t>
  </si>
  <si>
    <t xml:space="preserve">Paud'arco </t>
  </si>
  <si>
    <t xml:space="preserve">Anti inflamaotry,anti fungal  </t>
  </si>
  <si>
    <t>elps reduce the inflammatory response in the skin, which is often present in nappy rash. It soothes and calms irritated skin, promoting healing. Its cooling and moistening properties hydrate and relieve dryness</t>
  </si>
  <si>
    <t>contains active compounds like chamazulene and bisabolol that have anti-inflammatory properties. When applied topically or used as a wash, chamomile can reduce redness and inflammation associated with nappy rash. Its cooling and moistening qualities soothe and hydrate the skin, providing relief.</t>
  </si>
  <si>
    <t>help decrease inflammation in the affected area. Its astringent properties create a protective barrier on the skin, preventing further irritation and promoting healing. The cooling and drying nature of koromiko aids in reducing excess moisture that can exacerbate nappy rash</t>
  </si>
  <si>
    <t>if nappy rash is complicated by fungal overgrowth. It can help combat fungal pathogens that may contribute to the rash. Simultaneously, its anti-inflammatory action reduces skin inflammation and discomfort. The cooling and drying properties support the healing process.</t>
  </si>
  <si>
    <t>body_system</t>
  </si>
  <si>
    <t>health_concern</t>
  </si>
  <si>
    <t>herb_name</t>
  </si>
  <si>
    <t>latin_name</t>
  </si>
  <si>
    <t>actions</t>
  </si>
  <si>
    <t>indications</t>
  </si>
  <si>
    <t>energetics</t>
  </si>
  <si>
    <t>safety</t>
  </si>
  <si>
    <t>dose_min_ml</t>
  </si>
  <si>
    <t>dose_max_ml</t>
  </si>
  <si>
    <t>dose_unit</t>
  </si>
  <si>
    <t>Digestion &amp; Liver</t>
  </si>
  <si>
    <t>Angelica archangelica</t>
  </si>
  <si>
    <t>mL</t>
  </si>
  <si>
    <t>1:2</t>
  </si>
  <si>
    <t>Pimpinella anisum</t>
  </si>
  <si>
    <t>Matricaria chamomilla</t>
  </si>
  <si>
    <t>Cinnamomum verum</t>
  </si>
  <si>
    <t>Taraxacum officinale radix</t>
  </si>
  <si>
    <t>Foeniculum vulgare</t>
  </si>
  <si>
    <t>Gentiana lutea</t>
  </si>
  <si>
    <t>Zingiber officinale</t>
  </si>
  <si>
    <t>Cynara scolymus</t>
  </si>
  <si>
    <t>Chelidonium majus</t>
  </si>
  <si>
    <t>Piper excelsum</t>
  </si>
  <si>
    <t>Dysoxylum spectabile</t>
  </si>
  <si>
    <t>Melissa officinalis</t>
  </si>
  <si>
    <t>Silybum marianum</t>
  </si>
  <si>
    <t>Mentha × piperita</t>
  </si>
  <si>
    <t>Salvia officinalis</t>
  </si>
  <si>
    <t>Cardiovascular</t>
  </si>
  <si>
    <t>Angina</t>
  </si>
  <si>
    <t>Momordica charantia</t>
  </si>
  <si>
    <t>Coleus forskohlii</t>
  </si>
  <si>
    <t>Coleus</t>
  </si>
  <si>
    <t>Bitter Melon</t>
  </si>
  <si>
    <t>Salvia miltiorrhiza</t>
  </si>
  <si>
    <t>Dan Shen</t>
  </si>
  <si>
    <t>Angelica sinensis</t>
  </si>
  <si>
    <t>Crataegus species</t>
  </si>
  <si>
    <t>Hawthorn</t>
  </si>
  <si>
    <t>Dong Quai</t>
  </si>
  <si>
    <t>Kudzu</t>
  </si>
  <si>
    <t>Pueraria lobata</t>
  </si>
  <si>
    <t>Tilia species</t>
  </si>
  <si>
    <t>Lime Flower</t>
  </si>
  <si>
    <t>Mistletoe</t>
  </si>
  <si>
    <t>Viscum album</t>
  </si>
  <si>
    <t>Olive</t>
  </si>
  <si>
    <t>Olea europaea</t>
  </si>
  <si>
    <t>Saffron</t>
  </si>
  <si>
    <t>Crocus sativus</t>
  </si>
  <si>
    <t>Panax Ginseng</t>
  </si>
  <si>
    <t>Curcuma longa</t>
  </si>
  <si>
    <t>Turmeric</t>
  </si>
  <si>
    <t>Tienchi</t>
  </si>
  <si>
    <t>Hypotensive, Anti-inflammatory</t>
  </si>
  <si>
    <t>Cardiotonic, Antiplatele, Antiplatelet</t>
  </si>
  <si>
    <t>Anti-inflammatory, Antiplatelet, Peripheral circulatory stimulant</t>
  </si>
  <si>
    <t>Antiocidant, Cardioprotective, Cardiotonic, Hypotensive</t>
  </si>
  <si>
    <t xml:space="preserve">Anti-inflammatory, Hypolipidaemic </t>
  </si>
  <si>
    <t>Peripheral vasodilator, Sedative (Relaxant)</t>
  </si>
  <si>
    <t>Hypotensive, Sedative (Relaxant )</t>
  </si>
  <si>
    <t>Antioxidant, Hypotensive</t>
  </si>
  <si>
    <t>Anti-inflammatory, Antioxidant, Hypolipidemic, Hypotensive</t>
  </si>
  <si>
    <t>Antiarrhythmic, Anti-inflammatory, Cardioprotective, Hypocholesterolaemic</t>
  </si>
  <si>
    <t>Anti-inflammatory, Antioxidant, Antiplatelet, Hypolipidaemic</t>
  </si>
  <si>
    <t>Increase cyclic AMP levels, which may relax blood vessels and improve blood flow. This mechanism could potentially alleviate angina symptoms.</t>
  </si>
  <si>
    <t>Flavonoids and procyanidins have vasodilatory effects, potentially improving blood flow to the heart. It may also support heart health by reducing oxidative stress and enhancing nitric oxide production.</t>
  </si>
  <si>
    <t>Contains isoflavones that may enhance blood vessel dilation and improve blood flow which contribute to managing angina symptoms.</t>
  </si>
  <si>
    <t>Improve blood flow and regulate heart rate may be due to its impact on autonomic nervous system activity. It could contribute to angina management by enhancing cardiovascular function.</t>
  </si>
  <si>
    <t>Enhance blood circulation and reduce blood clot formation may contribute to cardiovascular health. These effects could help manage angina symptoms.</t>
  </si>
  <si>
    <t>Cardiovascular protection. Supports cardiovascular health and reduces inflammation. Support blood vessel health and cardiovascular function, potentially benefiting angina management.</t>
  </si>
  <si>
    <t>Cardiovascular diseases Helps reduce chest pain and improves blood flow. Due to effects on endothelial function potentially aiding in angina management.</t>
  </si>
  <si>
    <t>Helps reduce inflammation and supports heart health which inturn support blood vessel health and alleviate angina symptoms.</t>
  </si>
  <si>
    <t xml:space="preserve">Promotes relaxation of blood vessels and reduces blood pressure influence heart health by modulating ion channels and enhancing blood vessel relaxation. </t>
  </si>
  <si>
    <t>The compounds in ginger improves blood flow, potentially relieving chest pain associated with angina.</t>
  </si>
  <si>
    <t>Helps regulate blood pressure and improves circulation, these effects could potentially alleviate angina symptoms..</t>
  </si>
  <si>
    <t>Contains tanshinones and salvianolic acids, these compounds may help improve blood flow and protect cardiovascular health, potentially aiding angina management.</t>
  </si>
  <si>
    <t>Active compounds like charantin and polypeptide-P in bitter melon may influence factors involved in blood pressure regulation. This contributes to its hypotensive properties also due to reducing inflammation, which is often associated with heart health issues.</t>
  </si>
  <si>
    <t>1:1</t>
  </si>
  <si>
    <t>Arrhythmia</t>
  </si>
  <si>
    <t>Corydalis</t>
  </si>
  <si>
    <t>Corydalis ambigua/yanhusuo</t>
  </si>
  <si>
    <t>Lime Flowers</t>
  </si>
  <si>
    <t>Motherwort</t>
  </si>
  <si>
    <t>Leonurus cardiaca</t>
  </si>
  <si>
    <t xml:space="preserve">Ginseng Panax </t>
  </si>
  <si>
    <t>Anti-arrhythmic, Sedative (Relaxant)</t>
  </si>
  <si>
    <t xml:space="preserve">Antioxidant, Cardioprotective, Cardiotonic hypotensive </t>
  </si>
  <si>
    <t>Anti-arrhythmic, Cardiotonic</t>
  </si>
  <si>
    <t xml:space="preserve">Flavonoids and procyanidins may enhance blood vessel dilation and improve blood flow, potentially supporting cardiac function and reducing arrhythmia. Its potential effects on ion channels could also contribute to helong irregular heart rhythms </t>
  </si>
  <si>
    <t xml:space="preserve">Helps regulate heart rhythm and reduces arrhythmia symptoms by influencing cardiac ion channels and neurotransmitter systems. </t>
  </si>
  <si>
    <t>Palpitations, Helps regulate heart rhythm and reduces arrhythmia symptoms</t>
  </si>
  <si>
    <t>Hypertension, Promotes relaxation and reduces heart palpitations.</t>
  </si>
  <si>
    <t xml:space="preserve">Enhance blood circulation and reduce blood clot formation may contribute to cardiovascular health. Its effects on blood flow and circulation </t>
  </si>
  <si>
    <t xml:space="preserve">Avoid during pregnancy. CYP450 inhibitor may affect hepatic drug metabolism. </t>
  </si>
  <si>
    <t>Cayenne</t>
  </si>
  <si>
    <t>Capsicum annuum</t>
  </si>
  <si>
    <t xml:space="preserve">Hawthorn </t>
  </si>
  <si>
    <t xml:space="preserve">Lime Flower </t>
  </si>
  <si>
    <t xml:space="preserve"> Viscum album</t>
  </si>
  <si>
    <t xml:space="preserve">Olive </t>
  </si>
  <si>
    <t>Bilberry</t>
  </si>
  <si>
    <t>Vaccinium myrtillus</t>
  </si>
  <si>
    <t>Butchers Broom</t>
  </si>
  <si>
    <t>Ruscus aculeatus</t>
  </si>
  <si>
    <t>Ginkgo</t>
  </si>
  <si>
    <t>Ginkgo biloba</t>
  </si>
  <si>
    <t>Gotu Kola</t>
  </si>
  <si>
    <t>Centella asiatica</t>
  </si>
  <si>
    <t>Horse Chestnut</t>
  </si>
  <si>
    <t>Aesculus hippocastanum</t>
  </si>
  <si>
    <t>Crampbark</t>
  </si>
  <si>
    <t>Viburnum opulus</t>
  </si>
  <si>
    <t>Garlic</t>
  </si>
  <si>
    <t>Allium sativum</t>
  </si>
  <si>
    <t>Horopito</t>
  </si>
  <si>
    <t>Pseudowintera colorata</t>
  </si>
  <si>
    <t>Macropiper excelsum</t>
  </si>
  <si>
    <t>Prickly Ash</t>
  </si>
  <si>
    <t>Zanthoxylum clava-herculis</t>
  </si>
  <si>
    <t>White Horehound</t>
  </si>
  <si>
    <t>Marrubium vulgare</t>
  </si>
  <si>
    <t>Fenugreek</t>
  </si>
  <si>
    <t>Trigonella foenum-graecum</t>
  </si>
  <si>
    <t>Pomegranate</t>
  </si>
  <si>
    <t>Punica granatum</t>
  </si>
  <si>
    <t>Withania</t>
  </si>
  <si>
    <t>Withania somnifera</t>
  </si>
  <si>
    <t>Dandelion Leaf</t>
  </si>
  <si>
    <t>Taraxacum officinale folia</t>
  </si>
  <si>
    <t>Valerian</t>
  </si>
  <si>
    <t>Valeriana officinalis</t>
  </si>
  <si>
    <t>Yarrow</t>
  </si>
  <si>
    <t>Achillea millefolium</t>
  </si>
  <si>
    <t>Liquorice</t>
  </si>
  <si>
    <t>Glycyrrhiza glabra</t>
  </si>
  <si>
    <t>Rehmania</t>
  </si>
  <si>
    <t>Rehmania glutinosa</t>
  </si>
  <si>
    <t>Passionflower</t>
  </si>
  <si>
    <t>Passiflora incarnata</t>
  </si>
  <si>
    <t>Zizyphus</t>
  </si>
  <si>
    <t>Zizyphus spinosa</t>
  </si>
  <si>
    <t>Prickly Ash:</t>
  </si>
  <si>
    <t>Agrimony</t>
  </si>
  <si>
    <t>Agrimonia eupatoria</t>
  </si>
  <si>
    <t xml:space="preserve">Calendula </t>
  </si>
  <si>
    <t>Calendula officinalis</t>
  </si>
  <si>
    <t>Arnica</t>
  </si>
  <si>
    <t>Arnica montana</t>
  </si>
  <si>
    <t>Witchhazel</t>
  </si>
  <si>
    <t>Hamamelis virginiana</t>
  </si>
  <si>
    <t>Ginseng Panax</t>
  </si>
  <si>
    <t>Capillary fragility</t>
  </si>
  <si>
    <t>Circulation / Raynaud's Syndrome</t>
  </si>
  <si>
    <t>Heart Failure</t>
  </si>
  <si>
    <t>Hypercholesterolaemia</t>
  </si>
  <si>
    <t>Hypertension</t>
  </si>
  <si>
    <t>Hypotension</t>
  </si>
  <si>
    <t>Palpitations</t>
  </si>
  <si>
    <t>Thrombophlebitis</t>
  </si>
  <si>
    <t>Varicose Veins</t>
  </si>
  <si>
    <t>Topically</t>
  </si>
  <si>
    <t>Astringent; Mild anti-inflammatory; Wound-healing support</t>
  </si>
  <si>
    <t>Used topically as washes or compresses to tone tissues and support local venous and capillary integrity in haemorrhoids or superficial venous issues</t>
  </si>
  <si>
    <t>Warming; Drying; Toning</t>
  </si>
  <si>
    <t>External use is generally very safe; avoid on deep or infected wounds without professional advice</t>
  </si>
  <si>
    <t>-</t>
  </si>
  <si>
    <t>Anti-inflammatory; Analgesic; Circulatory stimulant topically</t>
  </si>
  <si>
    <t>Applied externally for bruising, sprains and local soft-tissue trauma affecting the vascular bed</t>
  </si>
  <si>
    <t>Warming; Moving; Penetrating</t>
  </si>
  <si>
    <t>For external use only on unbroken skin; internal use is toxic and contraindicated</t>
  </si>
  <si>
    <t>Calendula</t>
  </si>
  <si>
    <t>Vulnerary; Anti-inflammatory; Mild antimicrobial</t>
  </si>
  <si>
    <t>Used as topical creams, washes or oils to support healing of varicose eczema, fragile skin and local inflammation around veins</t>
  </si>
  <si>
    <t>Warming; Drying; Moves stagnation</t>
  </si>
  <si>
    <t>External use is very safe; avoid with known Asteraceae allergy</t>
  </si>
  <si>
    <t>Astringent; Capillary and venous tonic; Anti-inflammatory</t>
  </si>
  <si>
    <t>Applied topically as lotions or compresses to tone distended veins, haemorrhoids and superficial capillary fragility</t>
  </si>
  <si>
    <t>Cooling; Drying; Toning</t>
  </si>
  <si>
    <t>Generally safe for external use; may cause mild irritation in very sensitive skin</t>
  </si>
  <si>
    <t>Andrographis</t>
  </si>
  <si>
    <t>Echinacea</t>
  </si>
  <si>
    <t>Manuka</t>
  </si>
  <si>
    <t>Oregon Grape</t>
  </si>
  <si>
    <t>Burdock</t>
  </si>
  <si>
    <t>Chaste Tree</t>
  </si>
  <si>
    <t>Cleavers</t>
  </si>
  <si>
    <t>Saw Palmetto</t>
  </si>
  <si>
    <t>Paeony</t>
  </si>
  <si>
    <t>Licorice</t>
  </si>
  <si>
    <t>Baptisia</t>
  </si>
  <si>
    <t>Lomatium</t>
  </si>
  <si>
    <t>Marshmallow</t>
  </si>
  <si>
    <t>Poke Root</t>
  </si>
  <si>
    <t>Thuja</t>
  </si>
  <si>
    <t>Kanuka</t>
  </si>
  <si>
    <t>St. John's Wort</t>
  </si>
  <si>
    <t xml:space="preserve">Cold Sores Topically </t>
  </si>
  <si>
    <t>Albizzia</t>
  </si>
  <si>
    <t>Figwort</t>
  </si>
  <si>
    <t>Heartsease</t>
  </si>
  <si>
    <t>Chickweed</t>
  </si>
  <si>
    <t xml:space="preserve">Eczema topically </t>
  </si>
  <si>
    <t>Cardiovascular (???)</t>
  </si>
  <si>
    <t>Barberry</t>
  </si>
  <si>
    <t>Golden Seal</t>
  </si>
  <si>
    <t>Pelargonium</t>
  </si>
  <si>
    <t>Thyme</t>
  </si>
  <si>
    <t>Oregano</t>
  </si>
  <si>
    <t>Black Walnut</t>
  </si>
  <si>
    <t>Poroporo</t>
  </si>
  <si>
    <t>Tea tree</t>
  </si>
  <si>
    <t>Koromikp</t>
  </si>
  <si>
    <t>Skin Condition</t>
  </si>
  <si>
    <t>Fungal Infections</t>
  </si>
  <si>
    <t>Solanum aviculare</t>
  </si>
  <si>
    <t>Traditionally antimicrobial; External skin application</t>
  </si>
  <si>
    <t>Used topically in traditional rongoā for fungal and skin infections</t>
  </si>
  <si>
    <t>Neutral; Slightly cooling; Drying</t>
  </si>
  <si>
    <t>Contains toxic glycoalkaloids; not for internal use</t>
  </si>
  <si>
    <t>Antifungal; Anti-inflammatory; Lymphatic</t>
  </si>
  <si>
    <t>Supports healing of fungal skin infections with redness, irritation and poor tissue recovery</t>
  </si>
  <si>
    <t>Very safe; caution with Asteraceae allergy</t>
  </si>
  <si>
    <t>Thuja occidentalis</t>
  </si>
  <si>
    <t>Antifungal; Antimicrobial; Immune-modulating</t>
  </si>
  <si>
    <t>Used for chronic fungal skin infections, warty growths and immune sluggishness</t>
  </si>
  <si>
    <t>Warming to neutral; Drying; Moving</t>
  </si>
  <si>
    <t>Avoid in pregnancy; use low doses; caution with autoimmune conditions</t>
  </si>
  <si>
    <t>Melaleuca alternifolia</t>
  </si>
  <si>
    <t>Topical antifungal; Antimicrobial; Anti-inflammatory</t>
  </si>
  <si>
    <t>Excellent for tinea, candida, onychomycosis and fungal skin lesions when applied externally</t>
  </si>
  <si>
    <t>Warming; Drying; Penetrating</t>
  </si>
  <si>
    <t>External use only; avoid ingestion</t>
  </si>
  <si>
    <t>Adhatoda</t>
  </si>
  <si>
    <t>Albizia</t>
  </si>
  <si>
    <t>Arjuna</t>
  </si>
  <si>
    <t>Astragalus</t>
  </si>
  <si>
    <t>Bearberry</t>
  </si>
  <si>
    <t>Black Cohosh</t>
  </si>
  <si>
    <t>Black Walnut Hulls</t>
  </si>
  <si>
    <t>Bladderwrack</t>
  </si>
  <si>
    <t>Buchu</t>
  </si>
  <si>
    <t>Bugleweed</t>
  </si>
  <si>
    <t>Bupleurum</t>
  </si>
  <si>
    <t>Butcher's Broom</t>
  </si>
  <si>
    <t>California Poppy</t>
  </si>
  <si>
    <t>Cascara</t>
  </si>
  <si>
    <t>Celery Seed</t>
  </si>
  <si>
    <t>Chen Pi</t>
  </si>
  <si>
    <t>Cinnamon Quills</t>
  </si>
  <si>
    <t>Clivers</t>
  </si>
  <si>
    <t>Codonopsis</t>
  </si>
  <si>
    <t>Corn Silk</t>
  </si>
  <si>
    <t>Couch Grass</t>
  </si>
  <si>
    <t>Cramp Bark</t>
  </si>
  <si>
    <t>Crataeva</t>
  </si>
  <si>
    <t>Damiana</t>
  </si>
  <si>
    <t>Dandelion Leaves</t>
  </si>
  <si>
    <t>Devil's Claw</t>
  </si>
  <si>
    <t>Echinacea Angustifolia</t>
  </si>
  <si>
    <t>Echinacea Premium</t>
  </si>
  <si>
    <t>Echinacea Purpurea Glycetract</t>
  </si>
  <si>
    <t>Elder Flowers</t>
  </si>
  <si>
    <t>Elecampane</t>
  </si>
  <si>
    <t>Epilobium (Willow Herb)</t>
  </si>
  <si>
    <t>Euphorbia</t>
  </si>
  <si>
    <t>Eyebright</t>
  </si>
  <si>
    <t>False Unicorn</t>
  </si>
  <si>
    <t>Feverfew</t>
  </si>
  <si>
    <t>Fringe Tree</t>
  </si>
  <si>
    <t>Ginkgo Biloba</t>
  </si>
  <si>
    <t>Goat's Rue</t>
  </si>
  <si>
    <t>Golden Rod</t>
  </si>
  <si>
    <t>Grindelia</t>
  </si>
  <si>
    <t>Gymnema</t>
  </si>
  <si>
    <t>Gynostemma</t>
  </si>
  <si>
    <t>Hawthorn Berries</t>
  </si>
  <si>
    <t>Hawthorn Leaves</t>
  </si>
  <si>
    <t>Hemidesmus</t>
  </si>
  <si>
    <t>Hops</t>
  </si>
  <si>
    <t>Horsechestnut</t>
  </si>
  <si>
    <t>Horseradish</t>
  </si>
  <si>
    <t>Horsetail</t>
  </si>
  <si>
    <t>Iberis</t>
  </si>
  <si>
    <t>Kava</t>
  </si>
  <si>
    <t>Korean Ginseng</t>
  </si>
  <si>
    <t>Ladies Mantle</t>
  </si>
  <si>
    <t>Lavender</t>
  </si>
  <si>
    <t>Licorice High Grade</t>
  </si>
  <si>
    <t>Marshmallow Root</t>
  </si>
  <si>
    <t>Marshmallow Root Glycetract</t>
  </si>
  <si>
    <t>Mullein</t>
  </si>
  <si>
    <t>Myrrh</t>
  </si>
  <si>
    <t>Nettle Leaf</t>
  </si>
  <si>
    <t>Nettle Root</t>
  </si>
  <si>
    <t>Nigella</t>
  </si>
  <si>
    <t>Oats Green</t>
  </si>
  <si>
    <t>Oats Seed</t>
  </si>
  <si>
    <t>Olive Leaves</t>
  </si>
  <si>
    <t>Paeonia</t>
  </si>
  <si>
    <t xml:space="preserve">Pelargonium </t>
  </si>
  <si>
    <t>Raspberry Leaves</t>
  </si>
  <si>
    <t>Red Clover Flowers</t>
  </si>
  <si>
    <t>Rehmannia</t>
  </si>
  <si>
    <t>Rhodiola</t>
  </si>
  <si>
    <t>Ribwort</t>
  </si>
  <si>
    <t>Rosemary</t>
  </si>
  <si>
    <t>Sarsaparilla</t>
  </si>
  <si>
    <t>Schisandra</t>
  </si>
  <si>
    <t>Shepherd's Purse</t>
  </si>
  <si>
    <t>Shatavari</t>
  </si>
  <si>
    <t>Siberian Ginseng</t>
  </si>
  <si>
    <t>Skullcap</t>
  </si>
  <si>
    <t>St John's Wort High Grade</t>
  </si>
  <si>
    <t>St John's Wort</t>
  </si>
  <si>
    <t>St Mary's Thistle</t>
  </si>
  <si>
    <t>St Mary's Thistle Glycetract</t>
  </si>
  <si>
    <t>Tienchi Ginseng</t>
  </si>
  <si>
    <t>Tinospora</t>
  </si>
  <si>
    <t>Tribulus</t>
  </si>
  <si>
    <t>Vervain</t>
  </si>
  <si>
    <t>Wild Yam</t>
  </si>
  <si>
    <t>Willow Bark</t>
  </si>
  <si>
    <t>Wood Betony</t>
  </si>
  <si>
    <t>Wormwood</t>
  </si>
  <si>
    <t>Yellow Dock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</si>
</sst>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2"/>
      <color theme="1"/>
      <name val="Calibri"/>
      <family val="2"/>
      <scheme val="minor"/>
    </font>
    <font>
      <sz val="11"/>
      <color theme="1"/>
      <name val="Calibri"/>
      <family val="2"/>
      <scheme val="minor"/>
    </font>
    <font>
      <b/>
      <sz val="12"/>
      <color theme="1"/>
      <name val="Calibri"/>
      <family val="2"/>
      <scheme val="minor"/>
    </font>
    <font>
      <b/>
      <sz val="9"/>
      <color rgb="FF374151"/>
      <name val="Arial"/>
      <family val="2"/>
    </font>
    <font>
      <sz val="9"/>
      <color rgb="FF374151"/>
      <name val="Arial"/>
      <family val="2"/>
    </font>
    <font>
      <b/>
      <sz val="11"/>
      <color theme="1" tint="0.249977111117893"/>
      <name val="Arial"/>
      <family val="2"/>
    </font>
    <font>
      <sz val="11"/>
      <color rgb="FF000000"/>
      <name val="Arial"/>
      <family val="2"/>
    </font>
    <font>
      <sz val="10.5"/>
      <color rgb="FF374151"/>
      <name val="Ubuntu"/>
    </font>
    <font>
      <sz val="12"/>
      <color rgb="FF374151"/>
      <name val="Calibri"/>
      <family val="2"/>
      <scheme val="minor"/>
    </font>
    <font>
      <sz val="13"/>
      <color rgb="FF444444"/>
      <name val="Helvetica"/>
      <family val="2"/>
    </font>
    <font>
      <sz val="16"/>
      <color rgb="FF374151"/>
      <name val="Ubuntu"/>
    </font>
    <font>
      <sz val="16"/>
      <color rgb="FF444444"/>
      <name val="Helvetica"/>
      <family val="2"/>
    </font>
    <font>
      <sz val="8"/>
      <color theme="1"/>
      <name val="Gotham"/>
    </font>
    <font>
      <sz val="7"/>
      <color theme="1"/>
      <name val="Gotham"/>
    </font>
    <font>
      <sz val="10.5"/>
      <color theme="1"/>
      <name val="Ubuntu"/>
    </font>
    <font>
      <sz val="12"/>
      <color theme="1"/>
      <name val="Calibri"/>
      <family val="2"/>
      <scheme val="minor"/>
    </font>
    <font>
      <sz val="11"/>
      <color theme="1"/>
      <name val="Calibri Light"/>
      <family val="2"/>
      <scheme val="major"/>
    </font>
    <font>
      <sz val="11"/>
      <color rgb="FF374151"/>
      <name val="Calibri Light"/>
      <family val="2"/>
      <scheme val="major"/>
    </font>
    <font>
      <sz val="12"/>
      <color rgb="FF374151"/>
      <name val="Calibri Light"/>
      <family val="2"/>
      <scheme val="major"/>
    </font>
    <font>
      <sz val="12"/>
      <color rgb="FF000000"/>
      <name val="Calibri Light"/>
      <family val="2"/>
      <scheme val="major"/>
    </font>
    <font>
      <sz val="12"/>
      <color theme="1"/>
      <name val="Calibri Light"/>
      <family val="2"/>
      <scheme val="major"/>
    </font>
    <font>
      <b/>
      <sz val="12"/>
      <color theme="1"/>
      <name val="Calibri Light"/>
      <family val="2"/>
      <scheme val="major"/>
    </font>
    <font>
      <b/>
      <sz val="12"/>
      <color rgb="FF000000"/>
      <name val="Calibri Light"/>
      <family val="2"/>
      <scheme val="major"/>
    </font>
    <font>
      <sz val="12"/>
      <color rgb="FF444444"/>
      <name val="Calibri Light"/>
      <family val="2"/>
      <scheme val="major"/>
    </font>
    <font>
      <sz val="11"/>
      <color theme="1"/>
      <name val="Calibri"/>
      <family val="2"/>
      <scheme val="minor"/>
    </font>
    <font>
      <sz val="11"/>
      <color rgb="FF374151"/>
      <name val="Calibri"/>
      <family val="2"/>
      <scheme val="minor"/>
    </font>
    <font>
      <sz val="12"/>
      <color rgb="FF000000"/>
      <name val="Calibri"/>
      <family val="2"/>
      <scheme val="minor"/>
    </font>
    <font>
      <i/>
      <sz val="16"/>
      <color rgb="FF374151"/>
      <name val="Ubuntu"/>
    </font>
    <font>
      <sz val="11"/>
      <color theme="1"/>
      <name val="Calibri"/>
      <family val="2"/>
    </font>
    <font>
      <sz val="11"/>
      <color rgb="FF374151"/>
      <name val="Calibri"/>
      <family val="2"/>
    </font>
    <font>
      <b/>
      <sz val="11"/>
      <color theme="1"/>
      <name val="Calibri"/>
      <family val="2"/>
    </font>
  </fonts>
  <fills count="10">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rgb="FFFF0000"/>
        <bgColor indexed="64"/>
      </patternFill>
    </fill>
    <fill>
      <patternFill patternType="solid">
        <fgColor rgb="FFF4BAE8"/>
        <bgColor indexed="64"/>
      </patternFill>
    </fill>
    <fill>
      <patternFill patternType="solid">
        <fgColor theme="2"/>
        <bgColor indexed="64"/>
      </patternFill>
    </fill>
    <fill>
      <patternFill patternType="solid">
        <fgColor rgb="FFFFFFCC"/>
      </patternFill>
    </fill>
  </fills>
  <borders count="5">
    <border>
      <left/>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15" fillId="9" borderId="4" applyNumberFormat="0" applyFont="0" applyAlignment="0" applyProtection="0"/>
  </cellStyleXfs>
  <cellXfs count="66">
    <xf numFmtId="0" fontId="0" fillId="0" borderId="0" xfId="0"/>
    <xf numFmtId="0" fontId="2" fillId="2" borderId="1" xfId="0" applyFont="1" applyFill="1" applyBorder="1" applyAlignment="1">
      <alignment horizontal="center"/>
    </xf>
    <xf numFmtId="0" fontId="0" fillId="3" borderId="2" xfId="0" applyFill="1" applyBorder="1" applyAlignment="1">
      <alignment horizontal="center"/>
    </xf>
    <xf numFmtId="0" fontId="3" fillId="0" borderId="0" xfId="0" applyFont="1"/>
    <xf numFmtId="0" fontId="4" fillId="0" borderId="0" xfId="0" applyFont="1"/>
    <xf numFmtId="0" fontId="3" fillId="2" borderId="3" xfId="0" applyFont="1" applyFill="1" applyBorder="1" applyAlignment="1">
      <alignment horizontal="center" vertical="center"/>
    </xf>
    <xf numFmtId="0" fontId="6" fillId="0" borderId="0" xfId="0" applyFont="1"/>
    <xf numFmtId="0" fontId="7" fillId="0" borderId="0" xfId="0" applyFont="1"/>
    <xf numFmtId="0" fontId="8" fillId="0" borderId="0" xfId="0" applyFont="1"/>
    <xf numFmtId="0" fontId="5" fillId="4" borderId="0" xfId="0" applyFont="1" applyFill="1" applyAlignment="1">
      <alignment horizontal="center"/>
    </xf>
    <xf numFmtId="0" fontId="2" fillId="4" borderId="0" xfId="0" applyFont="1" applyFill="1" applyAlignment="1">
      <alignment horizontal="center"/>
    </xf>
    <xf numFmtId="0" fontId="0" fillId="0" borderId="0" xfId="0" applyAlignment="1">
      <alignment wrapText="1"/>
    </xf>
    <xf numFmtId="20" fontId="0" fillId="0" borderId="0" xfId="0" applyNumberFormat="1"/>
    <xf numFmtId="0" fontId="2" fillId="4" borderId="0" xfId="0" applyFont="1" applyFill="1"/>
    <xf numFmtId="0" fontId="9" fillId="0" borderId="0" xfId="0" applyFont="1"/>
    <xf numFmtId="0" fontId="6" fillId="0" borderId="0" xfId="0" quotePrefix="1" applyFont="1"/>
    <xf numFmtId="0" fontId="10" fillId="0" borderId="0" xfId="0" applyFont="1"/>
    <xf numFmtId="0" fontId="11" fillId="0" borderId="0" xfId="0" applyFont="1"/>
    <xf numFmtId="17" fontId="0" fillId="0" borderId="0" xfId="0" applyNumberFormat="1"/>
    <xf numFmtId="0" fontId="12" fillId="0" borderId="0" xfId="0" applyFont="1"/>
    <xf numFmtId="0" fontId="13" fillId="0" borderId="0" xfId="0" applyFont="1"/>
    <xf numFmtId="0" fontId="7" fillId="6" borderId="0" xfId="0" applyFont="1" applyFill="1"/>
    <xf numFmtId="0" fontId="7" fillId="7" borderId="0" xfId="0" applyFont="1" applyFill="1"/>
    <xf numFmtId="0" fontId="0" fillId="6" borderId="0" xfId="0" applyFill="1"/>
    <xf numFmtId="0" fontId="0" fillId="7" borderId="0" xfId="0" applyFill="1"/>
    <xf numFmtId="0" fontId="13" fillId="7" borderId="0" xfId="0" applyFont="1" applyFill="1"/>
    <xf numFmtId="0" fontId="12" fillId="7" borderId="0" xfId="0" applyFont="1" applyFill="1"/>
    <xf numFmtId="0" fontId="14" fillId="6" borderId="0" xfId="0" applyFont="1" applyFill="1"/>
    <xf numFmtId="0" fontId="2" fillId="8" borderId="0" xfId="0" applyFont="1" applyFill="1"/>
    <xf numFmtId="0" fontId="7" fillId="8" borderId="0" xfId="0" applyFont="1" applyFill="1"/>
    <xf numFmtId="0" fontId="7" fillId="0" borderId="0" xfId="0" applyFont="1" applyAlignment="1">
      <alignment wrapText="1"/>
    </xf>
    <xf numFmtId="0" fontId="0" fillId="8" borderId="0" xfId="0" applyFill="1"/>
    <xf numFmtId="0" fontId="16" fillId="0" borderId="0" xfId="0" applyFont="1"/>
    <xf numFmtId="0" fontId="17" fillId="0" borderId="0" xfId="0" applyFont="1"/>
    <xf numFmtId="17" fontId="7" fillId="0" borderId="0" xfId="0" applyNumberFormat="1" applyFont="1"/>
    <xf numFmtId="0" fontId="18" fillId="0" borderId="0" xfId="0" applyFont="1"/>
    <xf numFmtId="0" fontId="7" fillId="9" borderId="4" xfId="1" applyFont="1"/>
    <xf numFmtId="0" fontId="19" fillId="8" borderId="0" xfId="0" applyFont="1" applyFill="1"/>
    <xf numFmtId="0" fontId="20" fillId="0" borderId="0" xfId="0" applyFont="1"/>
    <xf numFmtId="0" fontId="19" fillId="0" borderId="0" xfId="0" applyFont="1"/>
    <xf numFmtId="0" fontId="20" fillId="8" borderId="0" xfId="0" applyFont="1" applyFill="1"/>
    <xf numFmtId="0" fontId="20" fillId="0" borderId="0" xfId="0" applyFont="1" applyAlignment="1">
      <alignment wrapText="1"/>
    </xf>
    <xf numFmtId="0" fontId="19" fillId="0" borderId="0" xfId="0" applyFont="1" applyAlignment="1">
      <alignment wrapText="1"/>
    </xf>
    <xf numFmtId="20" fontId="20" fillId="0" borderId="0" xfId="0" applyNumberFormat="1" applyFont="1"/>
    <xf numFmtId="17" fontId="20" fillId="0" borderId="0" xfId="0" applyNumberFormat="1" applyFont="1"/>
    <xf numFmtId="0" fontId="21" fillId="5" borderId="0" xfId="0" applyFont="1" applyFill="1"/>
    <xf numFmtId="0" fontId="22" fillId="5" borderId="0" xfId="0" applyFont="1" applyFill="1"/>
    <xf numFmtId="0" fontId="23" fillId="0" borderId="0" xfId="0" applyFont="1"/>
    <xf numFmtId="0" fontId="2" fillId="0" borderId="0" xfId="0" applyFont="1"/>
    <xf numFmtId="0" fontId="24" fillId="0" borderId="0" xfId="0" applyFont="1"/>
    <xf numFmtId="0" fontId="25" fillId="0" borderId="0" xfId="0" applyFont="1"/>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49" fontId="0" fillId="0" borderId="0" xfId="0" applyNumberFormat="1"/>
    <xf numFmtId="49" fontId="6" fillId="0" borderId="0" xfId="0" applyNumberFormat="1" applyFont="1"/>
    <xf numFmtId="49" fontId="10" fillId="0" borderId="0" xfId="0" applyNumberFormat="1" applyFont="1"/>
    <xf numFmtId="49" fontId="9" fillId="0" borderId="0" xfId="0" applyNumberFormat="1" applyFont="1"/>
    <xf numFmtId="49" fontId="0" fillId="0" borderId="0" xfId="0" applyNumberFormat="1" applyAlignment="1">
      <alignment wrapText="1"/>
    </xf>
    <xf numFmtId="49" fontId="8" fillId="0" borderId="0" xfId="0" applyNumberFormat="1" applyFont="1"/>
    <xf numFmtId="0" fontId="0" fillId="0" borderId="0" xfId="0" applyAlignment="1">
      <alignment horizontal="left"/>
    </xf>
    <xf numFmtId="49" fontId="0" fillId="0" borderId="0" xfId="0" applyNumberFormat="1" applyAlignment="1">
      <alignment horizontal="left"/>
    </xf>
    <xf numFmtId="0" fontId="1" fillId="0" borderId="0" xfId="0" applyFont="1"/>
    <xf numFmtId="0" fontId="1" fillId="0" borderId="0" xfId="0" applyFont="1" applyAlignment="1">
      <alignment wrapText="1"/>
    </xf>
  </cellXfs>
  <cellStyles count="2">
    <cellStyle name="Normal" xfId="0" builtinId="0"/>
    <cellStyle name="Note" xfId="1" builtinId="10"/>
  </cellStyles>
  <dxfs count="0"/>
  <tableStyles count="0" defaultTableStyle="TableStyleMedium2" defaultPivotStyle="PivotStyleLight16"/>
  <colors>
    <mruColors>
      <color rgb="FFFF2F92"/>
      <color rgb="FFF4BA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2E15A-39A1-5843-9A23-37785FFF46AF}">
  <sheetPr codeName="Sheet1"/>
  <dimension ref="B2:B10"/>
  <sheetViews>
    <sheetView workbookViewId="0">
      <selection activeCell="C20" sqref="C20"/>
    </sheetView>
  </sheetViews>
  <sheetFormatPr defaultColWidth="11" defaultRowHeight="15.75"/>
  <cols>
    <col min="1" max="1" width="5" customWidth="1"/>
    <col min="2" max="2" width="13.5" bestFit="1" customWidth="1"/>
  </cols>
  <sheetData>
    <row r="2" spans="2:2">
      <c r="B2" t="s">
        <v>0</v>
      </c>
    </row>
    <row r="3" spans="2:2">
      <c r="B3" t="s">
        <v>1</v>
      </c>
    </row>
    <row r="4" spans="2:2">
      <c r="B4" t="s">
        <v>5</v>
      </c>
    </row>
    <row r="5" spans="2:2">
      <c r="B5" t="s">
        <v>6</v>
      </c>
    </row>
    <row r="6" spans="2:2">
      <c r="B6" t="s">
        <v>7</v>
      </c>
    </row>
    <row r="7" spans="2:2">
      <c r="B7" t="s">
        <v>8</v>
      </c>
    </row>
    <row r="8" spans="2:2">
      <c r="B8" t="s">
        <v>2</v>
      </c>
    </row>
    <row r="9" spans="2:2">
      <c r="B9" t="s">
        <v>3</v>
      </c>
    </row>
    <row r="10" spans="2:2">
      <c r="B10" t="s">
        <v>4</v>
      </c>
    </row>
  </sheetData>
  <sortState xmlns:xlrd2="http://schemas.microsoft.com/office/spreadsheetml/2017/richdata2" ref="B3:B10">
    <sortCondition ref="B3:B1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A805F-2BDA-442E-ADCF-EEC7D0572682}">
  <dimension ref="A1:L17"/>
  <sheetViews>
    <sheetView workbookViewId="0"/>
  </sheetViews>
  <sheetFormatPr defaultRowHeight="15.75"/>
  <cols>
    <col min="1" max="1" width="20.0625" customWidth="1"/>
    <col min="2" max="2" width="13.5625" bestFit="1" customWidth="1"/>
    <col min="3" max="3" width="15.5" bestFit="1" customWidth="1"/>
    <col min="4" max="4" width="22.1875" bestFit="1" customWidth="1"/>
    <col min="5" max="5" width="28.4375" customWidth="1"/>
    <col min="6" max="6" width="28.375" customWidth="1"/>
    <col min="7" max="7" width="20.1875" bestFit="1" customWidth="1"/>
    <col min="8" max="8" width="37.5625" bestFit="1" customWidth="1"/>
    <col min="9" max="9" width="11.8125" bestFit="1" customWidth="1"/>
    <col min="10" max="10" width="12.125" bestFit="1" customWidth="1"/>
    <col min="11" max="11" width="8.875" bestFit="1" customWidth="1"/>
    <col min="12" max="12" width="4.5" bestFit="1" customWidth="1"/>
  </cols>
  <sheetData>
    <row r="1" spans="1:12">
      <c r="A1" t="s">
        <v>1252</v>
      </c>
      <c r="B1" t="s">
        <v>1253</v>
      </c>
      <c r="C1" t="s">
        <v>1254</v>
      </c>
      <c r="D1" t="s">
        <v>1255</v>
      </c>
      <c r="E1" t="s">
        <v>1256</v>
      </c>
      <c r="F1" t="s">
        <v>1257</v>
      </c>
      <c r="G1" t="s">
        <v>1258</v>
      </c>
      <c r="H1" t="s">
        <v>1259</v>
      </c>
      <c r="I1" t="s">
        <v>1260</v>
      </c>
      <c r="J1" t="s">
        <v>1261</v>
      </c>
      <c r="K1" t="s">
        <v>1262</v>
      </c>
      <c r="L1" t="s">
        <v>516</v>
      </c>
    </row>
    <row r="2" spans="1:12">
      <c r="A2" t="s">
        <v>1263</v>
      </c>
      <c r="B2" t="s">
        <v>1</v>
      </c>
      <c r="C2" t="s">
        <v>16</v>
      </c>
      <c r="D2" t="s">
        <v>1264</v>
      </c>
      <c r="E2" t="s">
        <v>17</v>
      </c>
      <c r="F2" t="s">
        <v>8</v>
      </c>
      <c r="G2" t="s">
        <v>18</v>
      </c>
      <c r="H2" t="s">
        <v>19</v>
      </c>
      <c r="I2">
        <v>4</v>
      </c>
      <c r="J2">
        <v>6</v>
      </c>
      <c r="K2" t="s">
        <v>1265</v>
      </c>
      <c r="L2" s="56" t="s">
        <v>1266</v>
      </c>
    </row>
    <row r="3" spans="1:12">
      <c r="A3" t="s">
        <v>1263</v>
      </c>
      <c r="B3" t="s">
        <v>1</v>
      </c>
      <c r="C3" t="s">
        <v>21</v>
      </c>
      <c r="D3" t="s">
        <v>1267</v>
      </c>
      <c r="E3" t="s">
        <v>22</v>
      </c>
      <c r="F3" t="s">
        <v>23</v>
      </c>
      <c r="G3" t="s">
        <v>18</v>
      </c>
      <c r="H3" t="s">
        <v>24</v>
      </c>
      <c r="I3">
        <v>1</v>
      </c>
      <c r="J3">
        <v>4</v>
      </c>
      <c r="K3" t="s">
        <v>1265</v>
      </c>
      <c r="L3" s="56" t="s">
        <v>1266</v>
      </c>
    </row>
    <row r="4" spans="1:12">
      <c r="A4" t="s">
        <v>1263</v>
      </c>
      <c r="B4" t="s">
        <v>1</v>
      </c>
      <c r="C4" t="s">
        <v>26</v>
      </c>
      <c r="D4" t="s">
        <v>1268</v>
      </c>
      <c r="E4" t="s">
        <v>27</v>
      </c>
      <c r="F4" t="s">
        <v>23</v>
      </c>
      <c r="G4" t="s">
        <v>28</v>
      </c>
      <c r="H4" t="s">
        <v>29</v>
      </c>
      <c r="I4">
        <v>4</v>
      </c>
      <c r="J4">
        <v>10</v>
      </c>
      <c r="K4" t="s">
        <v>1265</v>
      </c>
      <c r="L4" s="56" t="s">
        <v>1266</v>
      </c>
    </row>
    <row r="5" spans="1:12">
      <c r="A5" t="s">
        <v>1263</v>
      </c>
      <c r="B5" t="s">
        <v>1</v>
      </c>
      <c r="C5" t="s">
        <v>31</v>
      </c>
      <c r="D5" t="s">
        <v>1269</v>
      </c>
      <c r="E5" t="s">
        <v>32</v>
      </c>
      <c r="F5" t="s">
        <v>33</v>
      </c>
      <c r="G5" t="s">
        <v>34</v>
      </c>
      <c r="H5" t="s">
        <v>35</v>
      </c>
      <c r="I5">
        <v>2</v>
      </c>
      <c r="J5">
        <v>8</v>
      </c>
      <c r="K5" t="s">
        <v>1265</v>
      </c>
      <c r="L5" s="56" t="s">
        <v>1266</v>
      </c>
    </row>
    <row r="6" spans="1:12">
      <c r="A6" t="s">
        <v>1263</v>
      </c>
      <c r="B6" t="s">
        <v>1</v>
      </c>
      <c r="C6" t="s">
        <v>37</v>
      </c>
      <c r="D6" t="s">
        <v>1270</v>
      </c>
      <c r="E6" t="s">
        <v>38</v>
      </c>
      <c r="F6" t="s">
        <v>39</v>
      </c>
      <c r="G6" t="s">
        <v>40</v>
      </c>
      <c r="H6" t="s">
        <v>41</v>
      </c>
      <c r="I6">
        <v>4</v>
      </c>
      <c r="J6">
        <v>16</v>
      </c>
      <c r="K6" t="s">
        <v>1265</v>
      </c>
      <c r="L6" s="56" t="s">
        <v>1266</v>
      </c>
    </row>
    <row r="7" spans="1:12">
      <c r="A7" t="s">
        <v>1263</v>
      </c>
      <c r="B7" t="s">
        <v>1</v>
      </c>
      <c r="C7" t="s">
        <v>43</v>
      </c>
      <c r="D7" t="s">
        <v>1271</v>
      </c>
      <c r="E7" t="s">
        <v>22</v>
      </c>
      <c r="F7" t="s">
        <v>23</v>
      </c>
      <c r="G7" t="s">
        <v>18</v>
      </c>
      <c r="H7" t="s">
        <v>24</v>
      </c>
      <c r="I7">
        <v>2</v>
      </c>
      <c r="J7">
        <v>4</v>
      </c>
      <c r="K7" t="s">
        <v>1265</v>
      </c>
      <c r="L7" s="56" t="s">
        <v>1266</v>
      </c>
    </row>
    <row r="8" spans="1:12">
      <c r="A8" t="s">
        <v>1263</v>
      </c>
      <c r="B8" t="s">
        <v>1</v>
      </c>
      <c r="C8" t="s">
        <v>45</v>
      </c>
      <c r="D8" t="s">
        <v>1272</v>
      </c>
      <c r="E8" t="s">
        <v>46</v>
      </c>
      <c r="F8" t="s">
        <v>8</v>
      </c>
      <c r="G8" t="s">
        <v>47</v>
      </c>
      <c r="H8" t="s">
        <v>48</v>
      </c>
      <c r="I8">
        <v>4</v>
      </c>
      <c r="J8">
        <v>8</v>
      </c>
      <c r="K8" t="s">
        <v>1265</v>
      </c>
      <c r="L8" s="56" t="s">
        <v>1266</v>
      </c>
    </row>
    <row r="9" spans="1:12">
      <c r="A9" t="s">
        <v>1263</v>
      </c>
      <c r="B9" t="s">
        <v>1</v>
      </c>
      <c r="C9" t="s">
        <v>50</v>
      </c>
      <c r="D9" t="s">
        <v>1273</v>
      </c>
      <c r="E9" t="s">
        <v>17</v>
      </c>
      <c r="F9" t="s">
        <v>8</v>
      </c>
      <c r="G9" t="s">
        <v>34</v>
      </c>
      <c r="H9" t="s">
        <v>24</v>
      </c>
      <c r="I9">
        <v>4</v>
      </c>
      <c r="J9">
        <v>8</v>
      </c>
      <c r="K9" t="s">
        <v>1265</v>
      </c>
      <c r="L9" s="56" t="s">
        <v>1266</v>
      </c>
    </row>
    <row r="10" spans="1:12">
      <c r="A10" t="s">
        <v>1263</v>
      </c>
      <c r="B10" t="s">
        <v>1</v>
      </c>
      <c r="C10" t="s">
        <v>52</v>
      </c>
      <c r="D10" t="s">
        <v>1274</v>
      </c>
      <c r="E10" t="s">
        <v>53</v>
      </c>
      <c r="F10" t="s">
        <v>8</v>
      </c>
      <c r="G10" t="s">
        <v>40</v>
      </c>
      <c r="H10" t="s">
        <v>41</v>
      </c>
      <c r="I10">
        <v>4</v>
      </c>
      <c r="J10">
        <v>16</v>
      </c>
      <c r="K10" t="s">
        <v>1265</v>
      </c>
      <c r="L10" s="56" t="s">
        <v>1266</v>
      </c>
    </row>
    <row r="11" spans="1:12">
      <c r="A11" t="s">
        <v>1263</v>
      </c>
      <c r="B11" t="s">
        <v>1</v>
      </c>
      <c r="C11" t="s">
        <v>55</v>
      </c>
      <c r="D11" t="s">
        <v>1275</v>
      </c>
      <c r="E11" t="s">
        <v>53</v>
      </c>
      <c r="F11" t="s">
        <v>8</v>
      </c>
      <c r="G11" t="s">
        <v>47</v>
      </c>
      <c r="H11" t="s">
        <v>56</v>
      </c>
      <c r="I11">
        <v>4</v>
      </c>
      <c r="J11">
        <v>16</v>
      </c>
      <c r="K11" t="s">
        <v>1265</v>
      </c>
      <c r="L11" s="56" t="s">
        <v>1266</v>
      </c>
    </row>
    <row r="12" spans="1:12">
      <c r="A12" t="s">
        <v>1263</v>
      </c>
      <c r="B12" t="s">
        <v>1</v>
      </c>
      <c r="C12" t="s">
        <v>58</v>
      </c>
      <c r="D12" t="s">
        <v>1276</v>
      </c>
      <c r="E12" t="s">
        <v>17</v>
      </c>
      <c r="F12" t="s">
        <v>33</v>
      </c>
      <c r="G12" t="s">
        <v>34</v>
      </c>
      <c r="H12" t="s">
        <v>59</v>
      </c>
      <c r="I12">
        <v>4</v>
      </c>
      <c r="J12">
        <v>12</v>
      </c>
      <c r="K12" t="s">
        <v>1265</v>
      </c>
      <c r="L12" s="56" t="s">
        <v>1266</v>
      </c>
    </row>
    <row r="13" spans="1:12">
      <c r="A13" t="s">
        <v>1263</v>
      </c>
      <c r="B13" t="s">
        <v>1</v>
      </c>
      <c r="C13" t="s">
        <v>61</v>
      </c>
      <c r="D13" t="s">
        <v>1277</v>
      </c>
      <c r="E13" t="s">
        <v>62</v>
      </c>
      <c r="F13" t="s">
        <v>63</v>
      </c>
      <c r="G13" t="s">
        <v>64</v>
      </c>
      <c r="H13" t="s">
        <v>65</v>
      </c>
      <c r="I13">
        <v>2</v>
      </c>
      <c r="J13">
        <v>4</v>
      </c>
      <c r="K13" t="s">
        <v>1265</v>
      </c>
      <c r="L13" s="56" t="s">
        <v>1266</v>
      </c>
    </row>
    <row r="14" spans="1:12">
      <c r="A14" t="s">
        <v>1263</v>
      </c>
      <c r="B14" t="s">
        <v>1</v>
      </c>
      <c r="C14" t="s">
        <v>67</v>
      </c>
      <c r="D14" t="s">
        <v>1278</v>
      </c>
      <c r="E14" t="s">
        <v>27</v>
      </c>
      <c r="F14" t="s">
        <v>23</v>
      </c>
      <c r="G14" t="s">
        <v>68</v>
      </c>
      <c r="H14" t="s">
        <v>59</v>
      </c>
      <c r="I14">
        <v>4</v>
      </c>
      <c r="J14">
        <v>8</v>
      </c>
      <c r="K14" t="s">
        <v>1265</v>
      </c>
      <c r="L14" s="56" t="s">
        <v>1266</v>
      </c>
    </row>
    <row r="15" spans="1:12">
      <c r="A15" t="s">
        <v>1263</v>
      </c>
      <c r="B15" t="s">
        <v>1</v>
      </c>
      <c r="C15" t="s">
        <v>70</v>
      </c>
      <c r="D15" t="s">
        <v>1279</v>
      </c>
      <c r="E15" t="s">
        <v>71</v>
      </c>
      <c r="F15" t="s">
        <v>8</v>
      </c>
      <c r="G15" t="s">
        <v>40</v>
      </c>
      <c r="H15" t="s">
        <v>72</v>
      </c>
      <c r="I15">
        <v>6</v>
      </c>
      <c r="J15">
        <v>24</v>
      </c>
      <c r="K15" t="s">
        <v>1265</v>
      </c>
      <c r="L15" s="56" t="s">
        <v>1266</v>
      </c>
    </row>
    <row r="16" spans="1:12">
      <c r="A16" t="s">
        <v>1263</v>
      </c>
      <c r="B16" t="s">
        <v>1</v>
      </c>
      <c r="C16" t="s">
        <v>74</v>
      </c>
      <c r="D16" t="s">
        <v>1280</v>
      </c>
      <c r="E16" t="s">
        <v>22</v>
      </c>
      <c r="F16" t="s">
        <v>23</v>
      </c>
      <c r="G16" t="s">
        <v>75</v>
      </c>
      <c r="H16" t="s">
        <v>24</v>
      </c>
      <c r="I16">
        <v>2</v>
      </c>
      <c r="J16">
        <v>4</v>
      </c>
      <c r="K16" t="s">
        <v>1265</v>
      </c>
      <c r="L16" s="56" t="s">
        <v>1266</v>
      </c>
    </row>
    <row r="17" spans="1:12">
      <c r="A17" t="s">
        <v>1263</v>
      </c>
      <c r="B17" t="s">
        <v>1</v>
      </c>
      <c r="C17" t="s">
        <v>76</v>
      </c>
      <c r="D17" t="s">
        <v>1281</v>
      </c>
      <c r="E17" t="s">
        <v>77</v>
      </c>
      <c r="F17" t="s">
        <v>8</v>
      </c>
      <c r="G17" t="s">
        <v>18</v>
      </c>
      <c r="H17" t="s">
        <v>19</v>
      </c>
      <c r="I17">
        <v>2</v>
      </c>
      <c r="J17">
        <v>8</v>
      </c>
      <c r="K17" t="s">
        <v>1265</v>
      </c>
      <c r="L17" s="56" t="s">
        <v>1266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AB7E-E95B-1A49-9631-9CCA4590D6ED}">
  <sheetPr codeName="Sheet2"/>
  <dimension ref="B1:G17"/>
  <sheetViews>
    <sheetView workbookViewId="0">
      <selection activeCell="E23" sqref="E23"/>
    </sheetView>
  </sheetViews>
  <sheetFormatPr defaultColWidth="11" defaultRowHeight="15.75"/>
  <cols>
    <col min="2" max="2" width="13.5" bestFit="1" customWidth="1"/>
    <col min="3" max="3" width="18" bestFit="1" customWidth="1"/>
    <col min="4" max="4" width="19.1875" bestFit="1" customWidth="1"/>
    <col min="5" max="5" width="17.5" bestFit="1" customWidth="1"/>
    <col min="6" max="6" width="33.5" bestFit="1" customWidth="1"/>
    <col min="7" max="7" width="23" bestFit="1" customWidth="1"/>
  </cols>
  <sheetData>
    <row r="1" spans="2:7">
      <c r="B1" s="3" t="s">
        <v>10</v>
      </c>
      <c r="C1" s="3" t="s">
        <v>11</v>
      </c>
      <c r="D1" s="3" t="s">
        <v>12</v>
      </c>
      <c r="E1" s="3" t="s">
        <v>13</v>
      </c>
      <c r="F1" s="3" t="s">
        <v>14</v>
      </c>
      <c r="G1" s="3" t="s">
        <v>15</v>
      </c>
    </row>
    <row r="2" spans="2:7">
      <c r="B2" s="4" t="s">
        <v>16</v>
      </c>
      <c r="C2" s="4" t="s">
        <v>17</v>
      </c>
      <c r="D2" s="4" t="s">
        <v>8</v>
      </c>
      <c r="E2" s="4" t="s">
        <v>18</v>
      </c>
      <c r="F2" s="4" t="s">
        <v>19</v>
      </c>
      <c r="G2" s="4" t="s">
        <v>20</v>
      </c>
    </row>
    <row r="3" spans="2:7">
      <c r="B3" s="4" t="s">
        <v>21</v>
      </c>
      <c r="C3" s="4" t="s">
        <v>22</v>
      </c>
      <c r="D3" s="4" t="s">
        <v>23</v>
      </c>
      <c r="E3" s="4" t="s">
        <v>18</v>
      </c>
      <c r="F3" s="4" t="s">
        <v>24</v>
      </c>
      <c r="G3" s="4" t="s">
        <v>25</v>
      </c>
    </row>
    <row r="4" spans="2:7">
      <c r="B4" s="4" t="s">
        <v>26</v>
      </c>
      <c r="C4" s="4" t="s">
        <v>27</v>
      </c>
      <c r="D4" s="4" t="s">
        <v>23</v>
      </c>
      <c r="E4" s="4" t="s">
        <v>28</v>
      </c>
      <c r="F4" s="4" t="s">
        <v>29</v>
      </c>
      <c r="G4" s="4" t="s">
        <v>30</v>
      </c>
    </row>
    <row r="5" spans="2:7">
      <c r="B5" s="4" t="s">
        <v>31</v>
      </c>
      <c r="C5" s="4" t="s">
        <v>32</v>
      </c>
      <c r="D5" s="4" t="s">
        <v>33</v>
      </c>
      <c r="E5" s="4" t="s">
        <v>34</v>
      </c>
      <c r="F5" s="4" t="s">
        <v>35</v>
      </c>
      <c r="G5" s="4" t="s">
        <v>36</v>
      </c>
    </row>
    <row r="6" spans="2:7">
      <c r="B6" s="4" t="s">
        <v>37</v>
      </c>
      <c r="C6" s="4" t="s">
        <v>38</v>
      </c>
      <c r="D6" s="4" t="s">
        <v>39</v>
      </c>
      <c r="E6" s="4" t="s">
        <v>40</v>
      </c>
      <c r="F6" s="4" t="s">
        <v>41</v>
      </c>
      <c r="G6" s="4" t="s">
        <v>42</v>
      </c>
    </row>
    <row r="7" spans="2:7">
      <c r="B7" s="4" t="s">
        <v>43</v>
      </c>
      <c r="C7" s="4" t="s">
        <v>22</v>
      </c>
      <c r="D7" s="4" t="s">
        <v>23</v>
      </c>
      <c r="E7" s="4" t="s">
        <v>18</v>
      </c>
      <c r="F7" s="4" t="s">
        <v>24</v>
      </c>
      <c r="G7" s="4" t="s">
        <v>44</v>
      </c>
    </row>
    <row r="8" spans="2:7">
      <c r="B8" s="4" t="s">
        <v>45</v>
      </c>
      <c r="C8" s="4" t="s">
        <v>46</v>
      </c>
      <c r="D8" s="4" t="s">
        <v>8</v>
      </c>
      <c r="E8" s="4" t="s">
        <v>47</v>
      </c>
      <c r="F8" s="4" t="s">
        <v>48</v>
      </c>
      <c r="G8" s="4" t="s">
        <v>49</v>
      </c>
    </row>
    <row r="9" spans="2:7">
      <c r="B9" s="4" t="s">
        <v>50</v>
      </c>
      <c r="C9" s="4" t="s">
        <v>17</v>
      </c>
      <c r="D9" s="4" t="s">
        <v>8</v>
      </c>
      <c r="E9" s="4" t="s">
        <v>34</v>
      </c>
      <c r="F9" s="4" t="s">
        <v>24</v>
      </c>
      <c r="G9" s="4" t="s">
        <v>51</v>
      </c>
    </row>
    <row r="10" spans="2:7">
      <c r="B10" s="4" t="s">
        <v>52</v>
      </c>
      <c r="C10" s="4" t="s">
        <v>53</v>
      </c>
      <c r="D10" s="4" t="s">
        <v>8</v>
      </c>
      <c r="E10" s="4" t="s">
        <v>40</v>
      </c>
      <c r="F10" s="4" t="s">
        <v>41</v>
      </c>
      <c r="G10" s="4" t="s">
        <v>54</v>
      </c>
    </row>
    <row r="11" spans="2:7">
      <c r="B11" s="4" t="s">
        <v>55</v>
      </c>
      <c r="C11" s="4" t="s">
        <v>53</v>
      </c>
      <c r="D11" s="4" t="s">
        <v>8</v>
      </c>
      <c r="E11" s="4" t="s">
        <v>47</v>
      </c>
      <c r="F11" s="4" t="s">
        <v>56</v>
      </c>
      <c r="G11" s="4" t="s">
        <v>57</v>
      </c>
    </row>
    <row r="12" spans="2:7">
      <c r="B12" s="4" t="s">
        <v>58</v>
      </c>
      <c r="C12" s="4" t="s">
        <v>17</v>
      </c>
      <c r="D12" s="4" t="s">
        <v>33</v>
      </c>
      <c r="E12" s="4" t="s">
        <v>34</v>
      </c>
      <c r="F12" s="4" t="s">
        <v>59</v>
      </c>
      <c r="G12" s="4" t="s">
        <v>60</v>
      </c>
    </row>
    <row r="13" spans="2:7">
      <c r="B13" s="4" t="s">
        <v>61</v>
      </c>
      <c r="C13" s="4" t="s">
        <v>62</v>
      </c>
      <c r="D13" s="4" t="s">
        <v>63</v>
      </c>
      <c r="E13" s="4" t="s">
        <v>64</v>
      </c>
      <c r="F13" s="4" t="s">
        <v>65</v>
      </c>
      <c r="G13" s="4" t="s">
        <v>66</v>
      </c>
    </row>
    <row r="14" spans="2:7">
      <c r="B14" s="4" t="s">
        <v>67</v>
      </c>
      <c r="C14" s="4" t="s">
        <v>27</v>
      </c>
      <c r="D14" s="4" t="s">
        <v>23</v>
      </c>
      <c r="E14" s="4" t="s">
        <v>68</v>
      </c>
      <c r="F14" s="4" t="s">
        <v>59</v>
      </c>
      <c r="G14" s="4" t="s">
        <v>69</v>
      </c>
    </row>
    <row r="15" spans="2:7">
      <c r="B15" s="4" t="s">
        <v>70</v>
      </c>
      <c r="C15" s="4" t="s">
        <v>71</v>
      </c>
      <c r="D15" s="4" t="s">
        <v>8</v>
      </c>
      <c r="E15" s="4" t="s">
        <v>40</v>
      </c>
      <c r="F15" s="4" t="s">
        <v>72</v>
      </c>
      <c r="G15" s="4" t="s">
        <v>73</v>
      </c>
    </row>
    <row r="16" spans="2:7">
      <c r="B16" s="4" t="s">
        <v>74</v>
      </c>
      <c r="C16" s="4" t="s">
        <v>22</v>
      </c>
      <c r="D16" s="4" t="s">
        <v>23</v>
      </c>
      <c r="E16" s="4" t="s">
        <v>75</v>
      </c>
      <c r="F16" s="4" t="s">
        <v>24</v>
      </c>
      <c r="G16" s="4" t="s">
        <v>66</v>
      </c>
    </row>
    <row r="17" spans="2:7">
      <c r="B17" s="4" t="s">
        <v>76</v>
      </c>
      <c r="C17" s="4" t="s">
        <v>77</v>
      </c>
      <c r="D17" s="4" t="s">
        <v>8</v>
      </c>
      <c r="E17" s="4" t="s">
        <v>18</v>
      </c>
      <c r="F17" s="4" t="s">
        <v>19</v>
      </c>
      <c r="G17" s="4"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E2665-48E5-484D-A597-0F2799A84B85}">
  <sheetPr>
    <tabColor rgb="FF92D050"/>
  </sheetPr>
  <dimension ref="A1:L19"/>
  <sheetViews>
    <sheetView tabSelected="1" workbookViewId="0">
      <selection activeCell="D15" sqref="D15"/>
    </sheetView>
  </sheetViews>
  <sheetFormatPr defaultRowHeight="15.75"/>
  <cols>
    <col min="1" max="1" width="18.125" customWidth="1"/>
    <col min="2" max="2" width="13.5625" bestFit="1" customWidth="1"/>
    <col min="3" max="3" width="15.4375" customWidth="1"/>
    <col min="4" max="4" width="31" customWidth="1"/>
    <col min="5" max="5" width="68.375" customWidth="1"/>
    <col min="6" max="6" width="215.1875" customWidth="1"/>
    <col min="7" max="7" width="28.4375" customWidth="1"/>
    <col min="8" max="8" width="90.6875" customWidth="1"/>
    <col min="9" max="9" width="11.8125" bestFit="1" customWidth="1"/>
    <col min="10" max="10" width="12.125" bestFit="1" customWidth="1"/>
    <col min="11" max="11" width="8.875" bestFit="1" customWidth="1"/>
    <col min="12" max="12" width="4.5" bestFit="1" customWidth="1"/>
  </cols>
  <sheetData>
    <row r="1" spans="1:12">
      <c r="A1" t="s">
        <v>1252</v>
      </c>
      <c r="B1" t="s">
        <v>1253</v>
      </c>
      <c r="C1" s="56" t="s">
        <v>1254</v>
      </c>
      <c r="D1" t="s">
        <v>1255</v>
      </c>
      <c r="E1" t="s">
        <v>1256</v>
      </c>
      <c r="F1" t="s">
        <v>1257</v>
      </c>
      <c r="G1" t="s">
        <v>1258</v>
      </c>
      <c r="H1" t="s">
        <v>1259</v>
      </c>
      <c r="I1" t="s">
        <v>1260</v>
      </c>
      <c r="J1" t="s">
        <v>1261</v>
      </c>
      <c r="K1" t="s">
        <v>1262</v>
      </c>
      <c r="L1" t="s">
        <v>516</v>
      </c>
    </row>
    <row r="2" spans="1:12">
      <c r="A2" t="s">
        <v>1282</v>
      </c>
      <c r="B2" t="s">
        <v>1283</v>
      </c>
      <c r="C2" s="56" t="s">
        <v>1287</v>
      </c>
      <c r="D2" t="s">
        <v>1284</v>
      </c>
      <c r="E2" t="s">
        <v>1308</v>
      </c>
      <c r="F2" s="56" t="s">
        <v>1331</v>
      </c>
      <c r="G2" t="s">
        <v>113</v>
      </c>
      <c r="H2" t="s">
        <v>281</v>
      </c>
      <c r="I2">
        <v>25</v>
      </c>
      <c r="J2">
        <v>40</v>
      </c>
      <c r="K2" t="s">
        <v>1265</v>
      </c>
      <c r="L2" s="56" t="s">
        <v>1266</v>
      </c>
    </row>
    <row r="3" spans="1:12">
      <c r="A3" t="s">
        <v>1282</v>
      </c>
      <c r="B3" t="s">
        <v>1283</v>
      </c>
      <c r="C3" s="56" t="s">
        <v>1286</v>
      </c>
      <c r="D3" t="s">
        <v>1285</v>
      </c>
      <c r="E3" t="s">
        <v>283</v>
      </c>
      <c r="F3" s="56" t="s">
        <v>1319</v>
      </c>
      <c r="G3" t="s">
        <v>337</v>
      </c>
      <c r="H3" t="s">
        <v>284</v>
      </c>
      <c r="I3">
        <v>20</v>
      </c>
      <c r="J3">
        <v>40</v>
      </c>
      <c r="K3" t="s">
        <v>1265</v>
      </c>
      <c r="L3" s="56" t="s">
        <v>1332</v>
      </c>
    </row>
    <row r="4" spans="1:12">
      <c r="A4" t="s">
        <v>1282</v>
      </c>
      <c r="B4" t="s">
        <v>1283</v>
      </c>
      <c r="C4" s="56" t="s">
        <v>1289</v>
      </c>
      <c r="D4" t="s">
        <v>1288</v>
      </c>
      <c r="E4" t="s">
        <v>285</v>
      </c>
      <c r="F4" s="56" t="s">
        <v>1330</v>
      </c>
      <c r="G4" t="s">
        <v>338</v>
      </c>
      <c r="H4" t="s">
        <v>286</v>
      </c>
      <c r="I4">
        <v>30</v>
      </c>
      <c r="J4">
        <v>60</v>
      </c>
      <c r="K4" t="s">
        <v>1265</v>
      </c>
      <c r="L4" s="56" t="s">
        <v>1266</v>
      </c>
    </row>
    <row r="5" spans="1:12">
      <c r="A5" t="s">
        <v>1282</v>
      </c>
      <c r="B5" t="s">
        <v>1283</v>
      </c>
      <c r="C5" s="56" t="s">
        <v>1293</v>
      </c>
      <c r="D5" t="s">
        <v>1290</v>
      </c>
      <c r="E5" t="s">
        <v>1309</v>
      </c>
      <c r="F5" s="56" t="s">
        <v>1329</v>
      </c>
      <c r="G5" t="s">
        <v>337</v>
      </c>
      <c r="H5" t="s">
        <v>356</v>
      </c>
      <c r="I5">
        <v>25</v>
      </c>
      <c r="J5">
        <v>50</v>
      </c>
      <c r="K5" t="s">
        <v>1265</v>
      </c>
      <c r="L5" s="56" t="s">
        <v>1266</v>
      </c>
    </row>
    <row r="6" spans="1:12">
      <c r="A6" t="s">
        <v>1282</v>
      </c>
      <c r="B6" t="s">
        <v>1283</v>
      </c>
      <c r="C6" s="56" t="s">
        <v>50</v>
      </c>
      <c r="D6" t="s">
        <v>1273</v>
      </c>
      <c r="E6" t="s">
        <v>1310</v>
      </c>
      <c r="F6" s="56" t="s">
        <v>1328</v>
      </c>
      <c r="G6" t="s">
        <v>339</v>
      </c>
      <c r="H6" t="s">
        <v>239</v>
      </c>
      <c r="I6">
        <v>20</v>
      </c>
      <c r="J6">
        <v>50</v>
      </c>
      <c r="K6" t="s">
        <v>1265</v>
      </c>
      <c r="L6" s="56" t="s">
        <v>1332</v>
      </c>
    </row>
    <row r="7" spans="1:12">
      <c r="A7" t="s">
        <v>1282</v>
      </c>
      <c r="B7" t="s">
        <v>1283</v>
      </c>
      <c r="C7" s="56" t="s">
        <v>1292</v>
      </c>
      <c r="D7" t="s">
        <v>1291</v>
      </c>
      <c r="E7" t="s">
        <v>1311</v>
      </c>
      <c r="F7" s="56" t="s">
        <v>1320</v>
      </c>
      <c r="G7" t="s">
        <v>340</v>
      </c>
      <c r="H7" t="s">
        <v>291</v>
      </c>
      <c r="I7">
        <v>40</v>
      </c>
      <c r="J7">
        <v>80</v>
      </c>
      <c r="K7" t="s">
        <v>1265</v>
      </c>
      <c r="L7" s="56" t="s">
        <v>1266</v>
      </c>
    </row>
    <row r="8" spans="1:12">
      <c r="A8" t="s">
        <v>1282</v>
      </c>
      <c r="B8" t="s">
        <v>1283</v>
      </c>
      <c r="C8" s="56" t="s">
        <v>1294</v>
      </c>
      <c r="D8" t="s">
        <v>1295</v>
      </c>
      <c r="E8" t="s">
        <v>1312</v>
      </c>
      <c r="F8" s="56" t="s">
        <v>1321</v>
      </c>
      <c r="G8" t="s">
        <v>341</v>
      </c>
      <c r="H8" t="s">
        <v>1348</v>
      </c>
      <c r="I8">
        <v>25</v>
      </c>
      <c r="J8">
        <v>50</v>
      </c>
      <c r="K8" t="s">
        <v>1265</v>
      </c>
      <c r="L8" s="56" t="s">
        <v>1266</v>
      </c>
    </row>
    <row r="9" spans="1:12">
      <c r="A9" t="s">
        <v>1282</v>
      </c>
      <c r="B9" t="s">
        <v>1283</v>
      </c>
      <c r="C9" s="56" t="s">
        <v>1297</v>
      </c>
      <c r="D9" t="s">
        <v>1296</v>
      </c>
      <c r="E9" t="s">
        <v>1313</v>
      </c>
      <c r="F9" s="56" t="s">
        <v>1327</v>
      </c>
      <c r="G9" t="s">
        <v>342</v>
      </c>
      <c r="H9" t="s">
        <v>296</v>
      </c>
      <c r="I9">
        <v>30</v>
      </c>
      <c r="J9">
        <v>60</v>
      </c>
      <c r="K9" t="s">
        <v>1265</v>
      </c>
      <c r="L9" s="56" t="s">
        <v>1266</v>
      </c>
    </row>
    <row r="10" spans="1:12">
      <c r="A10" t="s">
        <v>1282</v>
      </c>
      <c r="B10" t="s">
        <v>1283</v>
      </c>
      <c r="C10" s="56" t="s">
        <v>1298</v>
      </c>
      <c r="D10" t="s">
        <v>1299</v>
      </c>
      <c r="E10" t="s">
        <v>1314</v>
      </c>
      <c r="F10" s="56" t="s">
        <v>1322</v>
      </c>
      <c r="G10" t="s">
        <v>343</v>
      </c>
      <c r="H10" t="s">
        <v>291</v>
      </c>
      <c r="I10">
        <v>20</v>
      </c>
      <c r="J10">
        <v>40</v>
      </c>
      <c r="K10" t="s">
        <v>1265</v>
      </c>
      <c r="L10" s="56" t="s">
        <v>1266</v>
      </c>
    </row>
    <row r="11" spans="1:12">
      <c r="A11" t="s">
        <v>1282</v>
      </c>
      <c r="B11" t="s">
        <v>1283</v>
      </c>
      <c r="C11" s="56" t="s">
        <v>1300</v>
      </c>
      <c r="D11" t="s">
        <v>1301</v>
      </c>
      <c r="E11" t="s">
        <v>1315</v>
      </c>
      <c r="F11" s="56" t="s">
        <v>1326</v>
      </c>
      <c r="G11" t="s">
        <v>344</v>
      </c>
      <c r="H11" t="s">
        <v>291</v>
      </c>
      <c r="I11">
        <v>40</v>
      </c>
      <c r="J11">
        <v>70</v>
      </c>
      <c r="K11" t="s">
        <v>1265</v>
      </c>
      <c r="L11" s="56" t="s">
        <v>1266</v>
      </c>
    </row>
    <row r="12" spans="1:12">
      <c r="A12" t="s">
        <v>1282</v>
      </c>
      <c r="B12" t="s">
        <v>1283</v>
      </c>
      <c r="C12" s="56" t="s">
        <v>1302</v>
      </c>
      <c r="D12" t="s">
        <v>1303</v>
      </c>
      <c r="E12" t="s">
        <v>1316</v>
      </c>
      <c r="F12" s="56" t="s">
        <v>1325</v>
      </c>
      <c r="G12" t="s">
        <v>337</v>
      </c>
      <c r="H12" t="s">
        <v>291</v>
      </c>
      <c r="I12">
        <v>5</v>
      </c>
      <c r="J12">
        <v>10</v>
      </c>
      <c r="K12" t="s">
        <v>1265</v>
      </c>
      <c r="L12" s="56" t="s">
        <v>1266</v>
      </c>
    </row>
    <row r="13" spans="1:12">
      <c r="A13" t="s">
        <v>1282</v>
      </c>
      <c r="B13" t="s">
        <v>1283</v>
      </c>
      <c r="C13" s="56" t="s">
        <v>1307</v>
      </c>
      <c r="D13" t="s">
        <v>1304</v>
      </c>
      <c r="E13" t="s">
        <v>1317</v>
      </c>
      <c r="F13" s="56" t="s">
        <v>1323</v>
      </c>
      <c r="G13" t="s">
        <v>340</v>
      </c>
      <c r="H13" t="s">
        <v>301</v>
      </c>
      <c r="I13">
        <v>5</v>
      </c>
      <c r="J13">
        <v>15</v>
      </c>
      <c r="K13" t="s">
        <v>1265</v>
      </c>
      <c r="L13" s="56" t="s">
        <v>1266</v>
      </c>
    </row>
    <row r="14" spans="1:12">
      <c r="A14" t="s">
        <v>1282</v>
      </c>
      <c r="B14" t="s">
        <v>1283</v>
      </c>
      <c r="C14" s="56" t="s">
        <v>1306</v>
      </c>
      <c r="D14" t="s">
        <v>1305</v>
      </c>
      <c r="E14" t="s">
        <v>1318</v>
      </c>
      <c r="F14" s="56" t="s">
        <v>1324</v>
      </c>
      <c r="G14" t="s">
        <v>345</v>
      </c>
      <c r="H14" t="s">
        <v>373</v>
      </c>
      <c r="I14">
        <v>40</v>
      </c>
      <c r="J14">
        <v>80</v>
      </c>
      <c r="K14" t="s">
        <v>1265</v>
      </c>
      <c r="L14" s="56">
        <v>1.1000000000000001</v>
      </c>
    </row>
    <row r="15" spans="1:12">
      <c r="A15" t="s">
        <v>1282</v>
      </c>
      <c r="B15" t="s">
        <v>1333</v>
      </c>
      <c r="C15" t="s">
        <v>1334</v>
      </c>
      <c r="D15" t="s">
        <v>1335</v>
      </c>
      <c r="E15" t="s">
        <v>1340</v>
      </c>
      <c r="F15" t="s">
        <v>1344</v>
      </c>
      <c r="G15" t="s">
        <v>346</v>
      </c>
      <c r="H15" t="s">
        <v>304</v>
      </c>
      <c r="I15" t="s">
        <v>532</v>
      </c>
      <c r="J15" t="s">
        <v>362</v>
      </c>
      <c r="L15" s="56"/>
    </row>
    <row r="16" spans="1:12">
      <c r="A16" t="s">
        <v>1282</v>
      </c>
      <c r="B16" t="s">
        <v>1333</v>
      </c>
      <c r="C16" t="s">
        <v>1292</v>
      </c>
      <c r="D16" t="s">
        <v>1291</v>
      </c>
      <c r="E16" t="s">
        <v>1341</v>
      </c>
      <c r="F16" t="s">
        <v>1343</v>
      </c>
      <c r="G16" t="s">
        <v>340</v>
      </c>
      <c r="H16" t="s">
        <v>180</v>
      </c>
      <c r="I16" t="s">
        <v>533</v>
      </c>
      <c r="J16" t="s">
        <v>362</v>
      </c>
      <c r="L16" s="56"/>
    </row>
    <row r="17" spans="1:12">
      <c r="A17" t="s">
        <v>1282</v>
      </c>
      <c r="B17" t="s">
        <v>1333</v>
      </c>
      <c r="C17" t="s">
        <v>1336</v>
      </c>
      <c r="D17" t="s">
        <v>1296</v>
      </c>
      <c r="E17" t="s">
        <v>1313</v>
      </c>
      <c r="F17" t="s">
        <v>1346</v>
      </c>
      <c r="G17" t="s">
        <v>342</v>
      </c>
      <c r="H17" t="s">
        <v>180</v>
      </c>
      <c r="I17" t="s">
        <v>526</v>
      </c>
      <c r="J17" t="s">
        <v>362</v>
      </c>
      <c r="L17" s="56"/>
    </row>
    <row r="18" spans="1:12">
      <c r="A18" t="s">
        <v>1282</v>
      </c>
      <c r="B18" t="s">
        <v>1333</v>
      </c>
      <c r="C18" t="s">
        <v>1337</v>
      </c>
      <c r="D18" t="s">
        <v>1338</v>
      </c>
      <c r="E18" t="s">
        <v>1342</v>
      </c>
      <c r="F18" t="s">
        <v>1345</v>
      </c>
      <c r="G18" t="s">
        <v>347</v>
      </c>
      <c r="H18" t="s">
        <v>197</v>
      </c>
      <c r="I18" t="s">
        <v>534</v>
      </c>
      <c r="J18" t="s">
        <v>362</v>
      </c>
    </row>
    <row r="19" spans="1:12">
      <c r="A19" t="s">
        <v>1282</v>
      </c>
      <c r="B19" t="s">
        <v>1333</v>
      </c>
      <c r="C19" t="s">
        <v>1307</v>
      </c>
      <c r="D19" t="s">
        <v>1339</v>
      </c>
      <c r="E19" t="s">
        <v>1317</v>
      </c>
      <c r="F19" t="s">
        <v>1347</v>
      </c>
      <c r="G19" t="s">
        <v>340</v>
      </c>
      <c r="H19" t="s">
        <v>301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D6A27-3DA1-9546-8AF1-9AF0278823E2}">
  <sheetPr>
    <tabColor rgb="FF92D050"/>
  </sheetPr>
  <dimension ref="A1:L85"/>
  <sheetViews>
    <sheetView topLeftCell="G1" zoomScale="80" zoomScaleNormal="80" workbookViewId="0">
      <pane ySplit="1" topLeftCell="A2" activePane="bottomLeft" state="frozen"/>
      <selection pane="bottomLeft" activeCell="H19" sqref="H19"/>
    </sheetView>
  </sheetViews>
  <sheetFormatPr defaultColWidth="11" defaultRowHeight="15.75"/>
  <cols>
    <col min="1" max="1" width="12.9375" bestFit="1" customWidth="1"/>
    <col min="2" max="2" width="31.8125" customWidth="1"/>
    <col min="3" max="3" width="19.125" customWidth="1"/>
    <col min="4" max="4" width="36.6875" customWidth="1"/>
    <col min="5" max="5" width="65.1875" customWidth="1"/>
    <col min="6" max="6" width="233.3125" customWidth="1"/>
    <col min="7" max="7" width="73.3125" customWidth="1"/>
    <col min="8" max="8" width="144.6875" customWidth="1"/>
    <col min="9" max="9" width="39.1875" customWidth="1"/>
  </cols>
  <sheetData>
    <row r="1" spans="1:10">
      <c r="C1" s="13" t="s">
        <v>10</v>
      </c>
      <c r="D1" s="13"/>
      <c r="E1" t="s">
        <v>11</v>
      </c>
      <c r="F1" s="13" t="s">
        <v>513</v>
      </c>
      <c r="G1" s="13" t="s">
        <v>514</v>
      </c>
      <c r="H1" s="13" t="s">
        <v>515</v>
      </c>
      <c r="I1" s="13" t="s">
        <v>15</v>
      </c>
      <c r="J1" s="13" t="s">
        <v>516</v>
      </c>
    </row>
    <row r="2" spans="1:10">
      <c r="B2" s="13" t="s">
        <v>274</v>
      </c>
      <c r="C2" s="7"/>
      <c r="D2" s="7"/>
      <c r="E2" s="7"/>
      <c r="F2" s="6"/>
    </row>
    <row r="3" spans="1:10" s="56" customFormat="1" ht="19.899999999999999">
      <c r="A3" s="56" t="s">
        <v>1282</v>
      </c>
      <c r="B3" s="56" t="s">
        <v>1283</v>
      </c>
      <c r="C3" s="56" t="s">
        <v>1287</v>
      </c>
      <c r="D3" s="56" t="s">
        <v>1284</v>
      </c>
      <c r="E3" s="56" t="s">
        <v>280</v>
      </c>
      <c r="F3" s="57" t="s">
        <v>997</v>
      </c>
      <c r="G3" s="58" t="s">
        <v>113</v>
      </c>
      <c r="H3" s="56" t="s">
        <v>281</v>
      </c>
      <c r="I3" s="56" t="s">
        <v>517</v>
      </c>
      <c r="J3" s="56" t="s">
        <v>518</v>
      </c>
    </row>
    <row r="4" spans="1:10" s="56" customFormat="1" ht="31.5">
      <c r="A4" s="56" t="s">
        <v>1282</v>
      </c>
      <c r="B4" s="56" t="s">
        <v>1283</v>
      </c>
      <c r="C4" s="56" t="s">
        <v>1286</v>
      </c>
      <c r="D4" s="56" t="s">
        <v>1285</v>
      </c>
      <c r="E4" s="59" t="s">
        <v>283</v>
      </c>
      <c r="F4" s="57" t="s">
        <v>998</v>
      </c>
      <c r="G4" s="58" t="s">
        <v>337</v>
      </c>
      <c r="H4" s="60" t="s">
        <v>284</v>
      </c>
      <c r="I4" s="56" t="s">
        <v>520</v>
      </c>
      <c r="J4" s="56">
        <v>1.1000000000000001</v>
      </c>
    </row>
    <row r="5" spans="1:10" s="56" customFormat="1" ht="19.899999999999999">
      <c r="A5" s="56" t="s">
        <v>1282</v>
      </c>
      <c r="B5" s="56" t="s">
        <v>1283</v>
      </c>
      <c r="C5" s="56" t="s">
        <v>1289</v>
      </c>
      <c r="D5" s="56" t="s">
        <v>1288</v>
      </c>
      <c r="E5" s="56" t="s">
        <v>285</v>
      </c>
      <c r="F5" s="57" t="s">
        <v>999</v>
      </c>
      <c r="G5" s="58" t="s">
        <v>338</v>
      </c>
      <c r="H5" s="56" t="s">
        <v>286</v>
      </c>
      <c r="I5" s="56" t="s">
        <v>521</v>
      </c>
    </row>
    <row r="6" spans="1:10" s="56" customFormat="1" ht="31.5">
      <c r="A6" s="56" t="s">
        <v>1282</v>
      </c>
      <c r="B6" s="56" t="s">
        <v>1283</v>
      </c>
      <c r="C6" s="56" t="s">
        <v>1293</v>
      </c>
      <c r="D6" s="56" t="s">
        <v>1290</v>
      </c>
      <c r="E6" s="56" t="s">
        <v>288</v>
      </c>
      <c r="F6" s="57" t="s">
        <v>1000</v>
      </c>
      <c r="G6" s="58" t="s">
        <v>337</v>
      </c>
      <c r="H6" s="60" t="s">
        <v>356</v>
      </c>
      <c r="I6" s="56" t="s">
        <v>522</v>
      </c>
      <c r="J6" s="56" t="s">
        <v>362</v>
      </c>
    </row>
    <row r="7" spans="1:10" s="56" customFormat="1" ht="19.899999999999999">
      <c r="A7" s="56" t="s">
        <v>1282</v>
      </c>
      <c r="B7" s="56" t="s">
        <v>1283</v>
      </c>
      <c r="C7" s="56" t="s">
        <v>50</v>
      </c>
      <c r="D7" s="56" t="s">
        <v>1273</v>
      </c>
      <c r="E7" s="56" t="s">
        <v>289</v>
      </c>
      <c r="F7" s="57" t="s">
        <v>1001</v>
      </c>
      <c r="G7" s="58" t="s">
        <v>339</v>
      </c>
      <c r="H7" s="56" t="s">
        <v>239</v>
      </c>
      <c r="I7" s="56" t="s">
        <v>523</v>
      </c>
      <c r="J7" s="56">
        <v>1.5</v>
      </c>
    </row>
    <row r="8" spans="1:10" s="56" customFormat="1" ht="31.5">
      <c r="A8" s="56" t="s">
        <v>1282</v>
      </c>
      <c r="B8" s="56" t="s">
        <v>1283</v>
      </c>
      <c r="C8" s="56" t="s">
        <v>1351</v>
      </c>
      <c r="D8" s="56" t="s">
        <v>1291</v>
      </c>
      <c r="E8" s="56" t="s">
        <v>290</v>
      </c>
      <c r="F8" s="57" t="s">
        <v>1002</v>
      </c>
      <c r="G8" s="58" t="s">
        <v>340</v>
      </c>
      <c r="H8" s="60" t="s">
        <v>291</v>
      </c>
      <c r="I8" s="56" t="s">
        <v>524</v>
      </c>
      <c r="J8" s="56" t="s">
        <v>362</v>
      </c>
    </row>
    <row r="9" spans="1:10" s="56" customFormat="1" ht="31.5">
      <c r="A9" s="56" t="s">
        <v>1282</v>
      </c>
      <c r="B9" s="56" t="s">
        <v>1283</v>
      </c>
      <c r="C9" s="56" t="s">
        <v>1294</v>
      </c>
      <c r="D9" s="56" t="s">
        <v>1295</v>
      </c>
      <c r="E9" s="56" t="s">
        <v>292</v>
      </c>
      <c r="F9" s="57" t="s">
        <v>1003</v>
      </c>
      <c r="G9" s="58" t="s">
        <v>341</v>
      </c>
      <c r="H9" s="60" t="s">
        <v>293</v>
      </c>
      <c r="I9" s="56" t="s">
        <v>525</v>
      </c>
      <c r="J9" s="56" t="s">
        <v>362</v>
      </c>
    </row>
    <row r="10" spans="1:10" s="56" customFormat="1" ht="19.899999999999999">
      <c r="A10" s="56" t="s">
        <v>1282</v>
      </c>
      <c r="B10" s="56" t="s">
        <v>1283</v>
      </c>
      <c r="C10" s="56" t="s">
        <v>1352</v>
      </c>
      <c r="D10" s="56" t="s">
        <v>1296</v>
      </c>
      <c r="E10" s="60" t="s">
        <v>295</v>
      </c>
      <c r="F10" s="57" t="s">
        <v>1011</v>
      </c>
      <c r="G10" s="58" t="s">
        <v>342</v>
      </c>
      <c r="H10" s="60" t="s">
        <v>296</v>
      </c>
      <c r="I10" s="56" t="s">
        <v>526</v>
      </c>
      <c r="J10" s="56" t="s">
        <v>362</v>
      </c>
    </row>
    <row r="11" spans="1:10" s="56" customFormat="1" ht="31.5">
      <c r="A11" s="56" t="s">
        <v>1282</v>
      </c>
      <c r="B11" s="56" t="s">
        <v>1283</v>
      </c>
      <c r="C11" s="56" t="s">
        <v>1298</v>
      </c>
      <c r="D11" s="56" t="s">
        <v>1353</v>
      </c>
      <c r="E11" s="56" t="s">
        <v>297</v>
      </c>
      <c r="F11" s="57" t="s">
        <v>1004</v>
      </c>
      <c r="G11" s="58" t="s">
        <v>343</v>
      </c>
      <c r="H11" s="60" t="s">
        <v>291</v>
      </c>
      <c r="I11" s="56" t="s">
        <v>527</v>
      </c>
      <c r="J11" s="56" t="s">
        <v>362</v>
      </c>
    </row>
    <row r="12" spans="1:10" s="56" customFormat="1" ht="31.5">
      <c r="A12" s="56" t="s">
        <v>1282</v>
      </c>
      <c r="B12" s="56" t="s">
        <v>1283</v>
      </c>
      <c r="C12" s="56" t="s">
        <v>1354</v>
      </c>
      <c r="D12" s="56" t="s">
        <v>1301</v>
      </c>
      <c r="E12" s="56" t="s">
        <v>298</v>
      </c>
      <c r="F12" s="57" t="s">
        <v>1005</v>
      </c>
      <c r="G12" s="58" t="s">
        <v>344</v>
      </c>
      <c r="H12" s="60" t="s">
        <v>291</v>
      </c>
      <c r="I12" s="61" t="s">
        <v>528</v>
      </c>
      <c r="J12" s="56" t="s">
        <v>362</v>
      </c>
    </row>
    <row r="13" spans="1:10" s="56" customFormat="1" ht="31.5">
      <c r="A13" s="56" t="s">
        <v>1282</v>
      </c>
      <c r="B13" s="56" t="s">
        <v>1283</v>
      </c>
      <c r="C13" s="56" t="s">
        <v>1302</v>
      </c>
      <c r="D13" s="56" t="s">
        <v>1303</v>
      </c>
      <c r="E13" s="56" t="s">
        <v>299</v>
      </c>
      <c r="F13" s="57" t="s">
        <v>1006</v>
      </c>
      <c r="G13" s="58" t="s">
        <v>337</v>
      </c>
      <c r="H13" s="60" t="s">
        <v>291</v>
      </c>
      <c r="I13" s="61" t="s">
        <v>529</v>
      </c>
      <c r="J13" s="56" t="s">
        <v>362</v>
      </c>
    </row>
    <row r="14" spans="1:10" s="56" customFormat="1" ht="19.899999999999999">
      <c r="A14" s="56" t="s">
        <v>1282</v>
      </c>
      <c r="B14" s="56" t="s">
        <v>1283</v>
      </c>
      <c r="C14" s="56" t="s">
        <v>277</v>
      </c>
      <c r="E14" s="56" t="s">
        <v>300</v>
      </c>
      <c r="F14" s="57" t="s">
        <v>1007</v>
      </c>
      <c r="G14" s="58" t="s">
        <v>340</v>
      </c>
      <c r="H14" s="60" t="s">
        <v>301</v>
      </c>
      <c r="I14" s="61" t="s">
        <v>530</v>
      </c>
      <c r="J14" s="56" t="s">
        <v>362</v>
      </c>
    </row>
    <row r="15" spans="1:10" s="56" customFormat="1" ht="19.899999999999999">
      <c r="A15" s="56" t="s">
        <v>1282</v>
      </c>
      <c r="B15" s="56" t="s">
        <v>1283</v>
      </c>
      <c r="C15" s="56" t="s">
        <v>1306</v>
      </c>
      <c r="D15" s="56" t="s">
        <v>1305</v>
      </c>
      <c r="E15" s="56" t="s">
        <v>302</v>
      </c>
      <c r="F15" s="56" t="s">
        <v>1008</v>
      </c>
      <c r="G15" s="58" t="s">
        <v>345</v>
      </c>
      <c r="H15" s="56" t="s">
        <v>373</v>
      </c>
      <c r="I15" s="61" t="s">
        <v>531</v>
      </c>
      <c r="J15" s="56">
        <v>1.1000000000000001</v>
      </c>
    </row>
    <row r="16" spans="1:10">
      <c r="A16" s="56" t="s">
        <v>1282</v>
      </c>
      <c r="B16" t="s">
        <v>1333</v>
      </c>
      <c r="C16" s="6" t="s">
        <v>1334</v>
      </c>
      <c r="D16" s="6" t="s">
        <v>1335</v>
      </c>
      <c r="E16" t="s">
        <v>303</v>
      </c>
      <c r="F16" t="s">
        <v>1009</v>
      </c>
      <c r="G16" t="s">
        <v>346</v>
      </c>
      <c r="H16" t="s">
        <v>304</v>
      </c>
      <c r="I16" t="s">
        <v>532</v>
      </c>
      <c r="J16" t="s">
        <v>362</v>
      </c>
    </row>
    <row r="17" spans="1:10" ht="19.899999999999999">
      <c r="A17" s="56" t="s">
        <v>1282</v>
      </c>
      <c r="B17" t="s">
        <v>1333</v>
      </c>
      <c r="C17" t="s">
        <v>1292</v>
      </c>
      <c r="D17" t="s">
        <v>1291</v>
      </c>
      <c r="E17" t="s">
        <v>306</v>
      </c>
      <c r="F17" t="s">
        <v>1010</v>
      </c>
      <c r="G17" s="16" t="s">
        <v>340</v>
      </c>
      <c r="H17" t="s">
        <v>180</v>
      </c>
      <c r="I17" t="s">
        <v>533</v>
      </c>
      <c r="J17" t="s">
        <v>362</v>
      </c>
    </row>
    <row r="18" spans="1:10" ht="19.899999999999999">
      <c r="A18" s="56" t="s">
        <v>1282</v>
      </c>
      <c r="B18" t="s">
        <v>1333</v>
      </c>
      <c r="C18" t="s">
        <v>1336</v>
      </c>
      <c r="D18" t="s">
        <v>1296</v>
      </c>
      <c r="E18" t="s">
        <v>295</v>
      </c>
      <c r="F18" s="6" t="s">
        <v>307</v>
      </c>
      <c r="G18" s="16" t="s">
        <v>342</v>
      </c>
      <c r="H18" t="s">
        <v>180</v>
      </c>
      <c r="I18" t="s">
        <v>526</v>
      </c>
      <c r="J18" t="s">
        <v>362</v>
      </c>
    </row>
    <row r="19" spans="1:10" ht="19.899999999999999">
      <c r="A19" s="56" t="s">
        <v>1282</v>
      </c>
      <c r="B19" t="s">
        <v>1333</v>
      </c>
      <c r="C19" t="s">
        <v>1337</v>
      </c>
      <c r="D19" t="s">
        <v>1338</v>
      </c>
      <c r="E19" t="s">
        <v>309</v>
      </c>
      <c r="F19" s="6" t="s">
        <v>310</v>
      </c>
      <c r="G19" s="16" t="s">
        <v>347</v>
      </c>
      <c r="H19" t="s">
        <v>197</v>
      </c>
      <c r="I19" t="s">
        <v>534</v>
      </c>
      <c r="J19" t="s">
        <v>362</v>
      </c>
    </row>
    <row r="20" spans="1:10" ht="19.899999999999999">
      <c r="A20" s="56" t="s">
        <v>1282</v>
      </c>
      <c r="B20" t="s">
        <v>1333</v>
      </c>
      <c r="C20" t="s">
        <v>1307</v>
      </c>
      <c r="D20" t="s">
        <v>1405</v>
      </c>
      <c r="E20" t="s">
        <v>300</v>
      </c>
      <c r="F20" s="6" t="s">
        <v>1012</v>
      </c>
      <c r="G20" s="16" t="s">
        <v>340</v>
      </c>
      <c r="H20" t="s">
        <v>301</v>
      </c>
    </row>
    <row r="21" spans="1:10" ht="19.899999999999999">
      <c r="A21" s="56" t="s">
        <v>1282</v>
      </c>
      <c r="B21" t="s">
        <v>1406</v>
      </c>
      <c r="C21" t="s">
        <v>1355</v>
      </c>
      <c r="D21" t="s">
        <v>1356</v>
      </c>
      <c r="E21" t="s">
        <v>312</v>
      </c>
      <c r="F21" s="6" t="s">
        <v>1013</v>
      </c>
      <c r="G21" s="16" t="s">
        <v>342</v>
      </c>
      <c r="H21" t="s">
        <v>180</v>
      </c>
      <c r="I21" t="s">
        <v>535</v>
      </c>
      <c r="J21">
        <v>1.1000000000000001</v>
      </c>
    </row>
    <row r="22" spans="1:10" ht="19.899999999999999">
      <c r="A22" s="56" t="s">
        <v>1282</v>
      </c>
      <c r="B22" t="s">
        <v>1406</v>
      </c>
      <c r="C22" s="6" t="s">
        <v>1357</v>
      </c>
      <c r="D22" s="6" t="s">
        <v>1358</v>
      </c>
      <c r="E22" t="s">
        <v>313</v>
      </c>
      <c r="F22" s="6" t="s">
        <v>1014</v>
      </c>
      <c r="G22" s="16" t="s">
        <v>338</v>
      </c>
      <c r="H22" t="s">
        <v>314</v>
      </c>
      <c r="I22" t="s">
        <v>315</v>
      </c>
      <c r="J22" t="s">
        <v>362</v>
      </c>
    </row>
    <row r="23" spans="1:10" ht="19.899999999999999">
      <c r="A23" s="56" t="s">
        <v>1282</v>
      </c>
      <c r="B23" t="s">
        <v>1406</v>
      </c>
      <c r="C23" t="s">
        <v>1359</v>
      </c>
      <c r="D23" t="s">
        <v>1360</v>
      </c>
      <c r="E23" t="s">
        <v>317</v>
      </c>
      <c r="F23" s="6" t="s">
        <v>1015</v>
      </c>
      <c r="G23" s="16" t="s">
        <v>342</v>
      </c>
      <c r="H23" t="s">
        <v>180</v>
      </c>
      <c r="I23" t="s">
        <v>316</v>
      </c>
      <c r="J23">
        <v>3.2</v>
      </c>
    </row>
    <row r="24" spans="1:10" ht="19.899999999999999">
      <c r="A24" s="56" t="s">
        <v>1282</v>
      </c>
      <c r="B24" t="s">
        <v>1406</v>
      </c>
      <c r="C24" t="s">
        <v>1361</v>
      </c>
      <c r="D24" t="s">
        <v>1362</v>
      </c>
      <c r="E24" t="s">
        <v>318</v>
      </c>
      <c r="F24" s="6" t="s">
        <v>1016</v>
      </c>
      <c r="G24" s="16" t="s">
        <v>338</v>
      </c>
      <c r="H24" t="s">
        <v>180</v>
      </c>
      <c r="I24" t="s">
        <v>319</v>
      </c>
      <c r="J24" t="s">
        <v>362</v>
      </c>
    </row>
    <row r="25" spans="1:10" ht="31.5">
      <c r="A25" s="56" t="s">
        <v>1282</v>
      </c>
      <c r="B25" t="s">
        <v>1406</v>
      </c>
      <c r="C25" s="6" t="s">
        <v>1363</v>
      </c>
      <c r="D25" s="6" t="s">
        <v>1364</v>
      </c>
      <c r="E25" t="s">
        <v>318</v>
      </c>
      <c r="F25" s="6" t="s">
        <v>1017</v>
      </c>
      <c r="G25" s="16" t="s">
        <v>338</v>
      </c>
      <c r="H25" s="11" t="s">
        <v>320</v>
      </c>
      <c r="I25" t="s">
        <v>321</v>
      </c>
      <c r="J25" t="s">
        <v>362</v>
      </c>
    </row>
    <row r="26" spans="1:10" ht="19.899999999999999">
      <c r="A26" s="56" t="s">
        <v>1282</v>
      </c>
      <c r="B26" t="s">
        <v>1407</v>
      </c>
      <c r="C26" t="s">
        <v>1349</v>
      </c>
      <c r="D26" t="s">
        <v>1350</v>
      </c>
      <c r="E26" t="s">
        <v>325</v>
      </c>
      <c r="F26" s="6" t="s">
        <v>1018</v>
      </c>
      <c r="G26" s="16" t="s">
        <v>348</v>
      </c>
      <c r="H26" s="14" t="s">
        <v>357</v>
      </c>
      <c r="I26" t="s">
        <v>358</v>
      </c>
      <c r="J26">
        <v>1.3</v>
      </c>
    </row>
    <row r="27" spans="1:10" ht="19.899999999999999">
      <c r="A27" s="56" t="s">
        <v>1282</v>
      </c>
      <c r="B27" t="s">
        <v>1407</v>
      </c>
      <c r="C27" t="s">
        <v>1365</v>
      </c>
      <c r="D27" t="s">
        <v>1366</v>
      </c>
      <c r="E27" t="s">
        <v>360</v>
      </c>
      <c r="F27" s="6" t="s">
        <v>1019</v>
      </c>
      <c r="G27" s="16" t="s">
        <v>349</v>
      </c>
      <c r="H27" t="s">
        <v>180</v>
      </c>
      <c r="I27" t="s">
        <v>359</v>
      </c>
      <c r="J27" t="s">
        <v>362</v>
      </c>
    </row>
    <row r="28" spans="1:10" ht="19.899999999999999">
      <c r="A28" s="56" t="s">
        <v>1282</v>
      </c>
      <c r="B28" t="s">
        <v>1407</v>
      </c>
      <c r="C28" t="s">
        <v>1289</v>
      </c>
      <c r="D28" t="s">
        <v>1288</v>
      </c>
      <c r="E28" t="s">
        <v>311</v>
      </c>
      <c r="F28" s="6" t="s">
        <v>1020</v>
      </c>
      <c r="G28" s="16" t="s">
        <v>338</v>
      </c>
      <c r="H28" t="s">
        <v>286</v>
      </c>
      <c r="I28" t="s">
        <v>287</v>
      </c>
      <c r="J28" t="s">
        <v>362</v>
      </c>
    </row>
    <row r="29" spans="1:10" ht="19.899999999999999">
      <c r="A29" s="56" t="s">
        <v>1282</v>
      </c>
      <c r="B29" t="s">
        <v>1407</v>
      </c>
      <c r="C29" t="s">
        <v>1293</v>
      </c>
      <c r="D29" t="s">
        <v>1290</v>
      </c>
      <c r="E29" t="s">
        <v>288</v>
      </c>
      <c r="F29" s="6" t="s">
        <v>1021</v>
      </c>
      <c r="G29" s="16" t="s">
        <v>337</v>
      </c>
      <c r="H29" t="s">
        <v>355</v>
      </c>
      <c r="I29" t="s">
        <v>282</v>
      </c>
      <c r="J29" t="s">
        <v>362</v>
      </c>
    </row>
    <row r="30" spans="1:10" ht="19.899999999999999">
      <c r="A30" s="56" t="s">
        <v>1282</v>
      </c>
      <c r="B30" t="s">
        <v>1407</v>
      </c>
      <c r="C30" s="6" t="s">
        <v>1367</v>
      </c>
      <c r="D30" s="6" t="s">
        <v>1368</v>
      </c>
      <c r="E30" t="s">
        <v>326</v>
      </c>
      <c r="F30" s="6" t="s">
        <v>1022</v>
      </c>
      <c r="G30" s="16" t="s">
        <v>350</v>
      </c>
      <c r="H30" t="s">
        <v>180</v>
      </c>
      <c r="I30" t="s">
        <v>361</v>
      </c>
      <c r="J30">
        <v>1.1000000000000001</v>
      </c>
    </row>
    <row r="31" spans="1:10" ht="19.899999999999999">
      <c r="A31" s="56" t="s">
        <v>1282</v>
      </c>
      <c r="B31" t="s">
        <v>1407</v>
      </c>
      <c r="C31" t="s">
        <v>50</v>
      </c>
      <c r="D31" t="s">
        <v>1273</v>
      </c>
      <c r="E31" t="s">
        <v>289</v>
      </c>
      <c r="F31" s="6" t="s">
        <v>1023</v>
      </c>
      <c r="G31" s="16" t="s">
        <v>339</v>
      </c>
      <c r="H31" t="s">
        <v>239</v>
      </c>
      <c r="I31" t="s">
        <v>363</v>
      </c>
      <c r="J31" t="s">
        <v>362</v>
      </c>
    </row>
    <row r="32" spans="1:10" ht="19.899999999999999">
      <c r="A32" s="56" t="s">
        <v>1282</v>
      </c>
      <c r="B32" t="s">
        <v>1407</v>
      </c>
      <c r="C32" t="s">
        <v>1359</v>
      </c>
      <c r="D32" t="s">
        <v>1360</v>
      </c>
      <c r="E32" t="s">
        <v>327</v>
      </c>
      <c r="F32" s="6" t="s">
        <v>1024</v>
      </c>
      <c r="G32" s="16" t="s">
        <v>342</v>
      </c>
      <c r="H32" t="s">
        <v>180</v>
      </c>
      <c r="I32" t="s">
        <v>364</v>
      </c>
      <c r="J32">
        <v>3.2</v>
      </c>
    </row>
    <row r="33" spans="1:12" ht="19.899999999999999">
      <c r="A33" s="56" t="s">
        <v>1282</v>
      </c>
      <c r="B33" t="s">
        <v>1407</v>
      </c>
      <c r="C33" t="s">
        <v>1351</v>
      </c>
      <c r="D33" t="s">
        <v>1291</v>
      </c>
      <c r="E33" t="s">
        <v>328</v>
      </c>
      <c r="F33" s="6" t="s">
        <v>1025</v>
      </c>
      <c r="G33" s="16" t="s">
        <v>340</v>
      </c>
      <c r="H33" s="14" t="s">
        <v>180</v>
      </c>
      <c r="I33" t="s">
        <v>367</v>
      </c>
      <c r="J33" t="s">
        <v>362</v>
      </c>
    </row>
    <row r="34" spans="1:12" ht="19.899999999999999">
      <c r="A34" s="56" t="s">
        <v>1282</v>
      </c>
      <c r="B34" t="s">
        <v>1407</v>
      </c>
      <c r="C34" t="s">
        <v>1369</v>
      </c>
      <c r="D34" t="s">
        <v>1370</v>
      </c>
      <c r="E34" t="s">
        <v>329</v>
      </c>
      <c r="F34" s="6" t="s">
        <v>1026</v>
      </c>
      <c r="G34" s="16" t="s">
        <v>348</v>
      </c>
      <c r="H34" t="s">
        <v>366</v>
      </c>
      <c r="I34" t="s">
        <v>365</v>
      </c>
      <c r="J34" t="s">
        <v>362</v>
      </c>
    </row>
    <row r="35" spans="1:12" ht="31.5">
      <c r="A35" s="56" t="s">
        <v>1282</v>
      </c>
      <c r="B35" t="s">
        <v>1407</v>
      </c>
      <c r="C35" t="s">
        <v>58</v>
      </c>
      <c r="D35" t="s">
        <v>1371</v>
      </c>
      <c r="E35" t="s">
        <v>330</v>
      </c>
      <c r="F35" s="6" t="s">
        <v>1027</v>
      </c>
      <c r="G35" s="16" t="s">
        <v>348</v>
      </c>
      <c r="H35" s="11" t="s">
        <v>369</v>
      </c>
      <c r="I35" t="s">
        <v>368</v>
      </c>
      <c r="J35" t="s">
        <v>362</v>
      </c>
    </row>
    <row r="36" spans="1:12" ht="19.899999999999999">
      <c r="A36" s="56" t="s">
        <v>1282</v>
      </c>
      <c r="B36" t="s">
        <v>1407</v>
      </c>
      <c r="C36" s="6" t="s">
        <v>1372</v>
      </c>
      <c r="D36" s="6" t="s">
        <v>1373</v>
      </c>
      <c r="E36" t="s">
        <v>331</v>
      </c>
      <c r="F36" s="6" t="s">
        <v>1028</v>
      </c>
      <c r="G36" s="16" t="s">
        <v>350</v>
      </c>
      <c r="H36" t="s">
        <v>180</v>
      </c>
      <c r="I36" t="s">
        <v>385</v>
      </c>
      <c r="J36" t="s">
        <v>362</v>
      </c>
    </row>
    <row r="37" spans="1:12" ht="19.899999999999999">
      <c r="A37" s="56" t="s">
        <v>1282</v>
      </c>
      <c r="B37" t="s">
        <v>1408</v>
      </c>
      <c r="C37" t="s">
        <v>1289</v>
      </c>
      <c r="D37" t="s">
        <v>1288</v>
      </c>
      <c r="E37" t="s">
        <v>311</v>
      </c>
      <c r="F37" s="6" t="s">
        <v>1029</v>
      </c>
      <c r="G37" s="16" t="s">
        <v>338</v>
      </c>
      <c r="H37" t="s">
        <v>286</v>
      </c>
      <c r="I37" t="s">
        <v>287</v>
      </c>
      <c r="J37" t="s">
        <v>362</v>
      </c>
    </row>
    <row r="38" spans="1:12" ht="19.899999999999999">
      <c r="A38" s="56" t="s">
        <v>1282</v>
      </c>
      <c r="B38" t="s">
        <v>1408</v>
      </c>
      <c r="C38" t="s">
        <v>1367</v>
      </c>
      <c r="D38" t="s">
        <v>1368</v>
      </c>
      <c r="E38" t="s">
        <v>326</v>
      </c>
      <c r="F38" s="6" t="s">
        <v>1030</v>
      </c>
      <c r="G38" s="16" t="s">
        <v>350</v>
      </c>
      <c r="H38" t="s">
        <v>180</v>
      </c>
      <c r="I38" t="s">
        <v>287</v>
      </c>
      <c r="J38" t="s">
        <v>362</v>
      </c>
    </row>
    <row r="39" spans="1:12" ht="19.899999999999999">
      <c r="A39" s="56" t="s">
        <v>1282</v>
      </c>
      <c r="B39" t="s">
        <v>1408</v>
      </c>
      <c r="C39" t="s">
        <v>1351</v>
      </c>
      <c r="D39" t="s">
        <v>1291</v>
      </c>
      <c r="E39" t="s">
        <v>290</v>
      </c>
      <c r="F39" s="6" t="s">
        <v>1031</v>
      </c>
      <c r="G39" s="16" t="s">
        <v>340</v>
      </c>
      <c r="H39" t="s">
        <v>180</v>
      </c>
      <c r="I39" t="s">
        <v>308</v>
      </c>
      <c r="J39" t="s">
        <v>362</v>
      </c>
    </row>
    <row r="40" spans="1:12" ht="19.899999999999999">
      <c r="A40" s="56" t="s">
        <v>1282</v>
      </c>
      <c r="B40" t="s">
        <v>1408</v>
      </c>
      <c r="C40" t="s">
        <v>1374</v>
      </c>
      <c r="D40" t="s">
        <v>1375</v>
      </c>
      <c r="E40" t="s">
        <v>283</v>
      </c>
      <c r="F40" s="6" t="s">
        <v>1032</v>
      </c>
      <c r="G40" s="16" t="s">
        <v>338</v>
      </c>
      <c r="H40" t="s">
        <v>180</v>
      </c>
    </row>
    <row r="41" spans="1:12" ht="19.899999999999999">
      <c r="A41" s="56" t="s">
        <v>1282</v>
      </c>
      <c r="B41" t="s">
        <v>1409</v>
      </c>
      <c r="C41" t="s">
        <v>1287</v>
      </c>
      <c r="D41" t="s">
        <v>1284</v>
      </c>
      <c r="E41" t="s">
        <v>1308</v>
      </c>
      <c r="F41" s="6" t="s">
        <v>1033</v>
      </c>
      <c r="G41" s="16" t="s">
        <v>338</v>
      </c>
      <c r="H41" t="s">
        <v>281</v>
      </c>
      <c r="I41" t="s">
        <v>282</v>
      </c>
      <c r="J41" t="s">
        <v>362</v>
      </c>
      <c r="L41">
        <f>4*7</f>
        <v>28</v>
      </c>
    </row>
    <row r="42" spans="1:12" ht="19.899999999999999">
      <c r="A42" s="56" t="s">
        <v>1282</v>
      </c>
      <c r="B42" t="s">
        <v>1409</v>
      </c>
      <c r="C42" t="s">
        <v>1376</v>
      </c>
      <c r="D42" t="s">
        <v>1377</v>
      </c>
      <c r="E42" t="s">
        <v>332</v>
      </c>
      <c r="F42" s="6" t="s">
        <v>1034</v>
      </c>
      <c r="G42" s="16" t="s">
        <v>337</v>
      </c>
      <c r="H42" t="s">
        <v>238</v>
      </c>
    </row>
    <row r="43" spans="1:12" ht="19.899999999999999">
      <c r="A43" s="56" t="s">
        <v>1282</v>
      </c>
      <c r="B43" t="s">
        <v>1409</v>
      </c>
      <c r="C43" t="s">
        <v>1367</v>
      </c>
      <c r="D43" t="s">
        <v>1368</v>
      </c>
      <c r="E43" t="s">
        <v>326</v>
      </c>
      <c r="F43" s="6" t="s">
        <v>1035</v>
      </c>
      <c r="G43" s="16" t="s">
        <v>350</v>
      </c>
      <c r="H43" t="s">
        <v>180</v>
      </c>
      <c r="I43" t="s">
        <v>361</v>
      </c>
      <c r="J43">
        <v>1.1000000000000001</v>
      </c>
    </row>
    <row r="44" spans="1:12" ht="19.899999999999999">
      <c r="A44" s="56" t="s">
        <v>1282</v>
      </c>
      <c r="B44" t="s">
        <v>1409</v>
      </c>
      <c r="C44" s="6" t="s">
        <v>52</v>
      </c>
      <c r="D44" s="6" t="s">
        <v>1274</v>
      </c>
      <c r="E44" t="s">
        <v>333</v>
      </c>
      <c r="F44" s="6" t="s">
        <v>1036</v>
      </c>
      <c r="G44" s="16" t="s">
        <v>338</v>
      </c>
      <c r="H44" t="s">
        <v>180</v>
      </c>
      <c r="I44" t="s">
        <v>370</v>
      </c>
      <c r="J44" t="s">
        <v>362</v>
      </c>
    </row>
    <row r="45" spans="1:12" ht="19.899999999999999">
      <c r="A45" s="56" t="s">
        <v>1282</v>
      </c>
      <c r="B45" t="s">
        <v>1409</v>
      </c>
      <c r="C45" t="s">
        <v>1378</v>
      </c>
      <c r="D45" t="s">
        <v>1379</v>
      </c>
      <c r="E45" t="s">
        <v>334</v>
      </c>
      <c r="F45" s="6" t="s">
        <v>1037</v>
      </c>
      <c r="G45" s="16" t="s">
        <v>349</v>
      </c>
      <c r="H45" t="s">
        <v>180</v>
      </c>
      <c r="I45" t="s">
        <v>371</v>
      </c>
      <c r="J45" t="s">
        <v>362</v>
      </c>
    </row>
    <row r="46" spans="1:12" ht="19.899999999999999">
      <c r="A46" s="56" t="s">
        <v>1282</v>
      </c>
      <c r="B46" t="s">
        <v>1409</v>
      </c>
      <c r="C46" t="s">
        <v>277</v>
      </c>
      <c r="E46" t="s">
        <v>300</v>
      </c>
      <c r="F46" s="6" t="s">
        <v>1038</v>
      </c>
      <c r="G46" s="16" t="s">
        <v>340</v>
      </c>
      <c r="H46" t="s">
        <v>301</v>
      </c>
    </row>
    <row r="47" spans="1:12" ht="19.899999999999999">
      <c r="A47" s="56" t="s">
        <v>1282</v>
      </c>
      <c r="B47" t="s">
        <v>1409</v>
      </c>
      <c r="C47" t="s">
        <v>1306</v>
      </c>
      <c r="D47" t="s">
        <v>1305</v>
      </c>
      <c r="E47" t="s">
        <v>335</v>
      </c>
      <c r="F47" s="15" t="s">
        <v>1039</v>
      </c>
      <c r="G47" s="16" t="s">
        <v>345</v>
      </c>
      <c r="H47" s="14" t="s">
        <v>373</v>
      </c>
      <c r="I47" t="s">
        <v>372</v>
      </c>
      <c r="J47">
        <v>1.1000000000000001</v>
      </c>
    </row>
    <row r="48" spans="1:12" ht="19.899999999999999">
      <c r="A48" s="56" t="s">
        <v>1282</v>
      </c>
      <c r="B48" t="s">
        <v>1409</v>
      </c>
      <c r="C48" t="s">
        <v>1380</v>
      </c>
      <c r="D48" t="s">
        <v>1381</v>
      </c>
      <c r="E48" t="s">
        <v>336</v>
      </c>
      <c r="F48" s="6" t="s">
        <v>1040</v>
      </c>
      <c r="G48" s="16" t="s">
        <v>343</v>
      </c>
      <c r="H48" t="s">
        <v>180</v>
      </c>
    </row>
    <row r="49" spans="1:10" ht="19.899999999999999">
      <c r="A49" s="56" t="s">
        <v>1282</v>
      </c>
      <c r="B49" t="s">
        <v>1410</v>
      </c>
      <c r="C49" t="s">
        <v>1286</v>
      </c>
      <c r="D49" t="s">
        <v>1285</v>
      </c>
      <c r="E49" s="14" t="s">
        <v>283</v>
      </c>
      <c r="F49" s="6" t="s">
        <v>1041</v>
      </c>
      <c r="G49" s="16" t="s">
        <v>337</v>
      </c>
      <c r="H49" s="14" t="s">
        <v>375</v>
      </c>
      <c r="I49" t="s">
        <v>374</v>
      </c>
      <c r="J49">
        <v>1.1000000000000001</v>
      </c>
    </row>
    <row r="50" spans="1:10" ht="19.899999999999999">
      <c r="A50" s="56" t="s">
        <v>1282</v>
      </c>
      <c r="B50" t="s">
        <v>1410</v>
      </c>
      <c r="C50" s="6" t="s">
        <v>1365</v>
      </c>
      <c r="D50" s="6" t="s">
        <v>1366</v>
      </c>
      <c r="E50" t="s">
        <v>360</v>
      </c>
      <c r="F50" s="6" t="s">
        <v>1042</v>
      </c>
      <c r="G50" s="16" t="s">
        <v>349</v>
      </c>
      <c r="H50" s="14" t="s">
        <v>180</v>
      </c>
      <c r="I50" t="s">
        <v>376</v>
      </c>
      <c r="J50" t="s">
        <v>362</v>
      </c>
    </row>
    <row r="51" spans="1:10" ht="19.899999999999999">
      <c r="A51" s="56" t="s">
        <v>1282</v>
      </c>
      <c r="B51" t="s">
        <v>1410</v>
      </c>
      <c r="C51" t="s">
        <v>1289</v>
      </c>
      <c r="D51" t="s">
        <v>1288</v>
      </c>
      <c r="E51" t="s">
        <v>311</v>
      </c>
      <c r="F51" s="6" t="s">
        <v>1043</v>
      </c>
      <c r="G51" s="16" t="s">
        <v>338</v>
      </c>
      <c r="H51" t="s">
        <v>286</v>
      </c>
      <c r="I51" t="s">
        <v>287</v>
      </c>
      <c r="J51" t="s">
        <v>362</v>
      </c>
    </row>
    <row r="52" spans="1:10" ht="19.899999999999999">
      <c r="A52" s="56" t="s">
        <v>1282</v>
      </c>
      <c r="B52" t="s">
        <v>1410</v>
      </c>
      <c r="C52" t="s">
        <v>1382</v>
      </c>
      <c r="D52" t="s">
        <v>1383</v>
      </c>
      <c r="E52" t="s">
        <v>378</v>
      </c>
      <c r="F52" s="6" t="s">
        <v>1044</v>
      </c>
      <c r="G52" s="16" t="s">
        <v>338</v>
      </c>
      <c r="H52" t="s">
        <v>180</v>
      </c>
      <c r="I52" t="s">
        <v>377</v>
      </c>
      <c r="J52">
        <v>1.1000000000000001</v>
      </c>
    </row>
    <row r="53" spans="1:10" ht="19.899999999999999">
      <c r="A53" s="56" t="s">
        <v>1282</v>
      </c>
      <c r="B53" t="s">
        <v>1410</v>
      </c>
      <c r="C53" t="s">
        <v>1367</v>
      </c>
      <c r="D53" t="s">
        <v>1368</v>
      </c>
      <c r="E53" t="s">
        <v>326</v>
      </c>
      <c r="F53" s="6" t="s">
        <v>1045</v>
      </c>
      <c r="G53" s="16" t="s">
        <v>350</v>
      </c>
      <c r="H53" t="s">
        <v>180</v>
      </c>
      <c r="I53" t="s">
        <v>361</v>
      </c>
      <c r="J53">
        <v>1.1000000000000001</v>
      </c>
    </row>
    <row r="54" spans="1:10" ht="19.899999999999999">
      <c r="A54" s="56" t="s">
        <v>1282</v>
      </c>
      <c r="B54" t="s">
        <v>1410</v>
      </c>
      <c r="C54" t="s">
        <v>1351</v>
      </c>
      <c r="D54" t="s">
        <v>1291</v>
      </c>
      <c r="E54" t="s">
        <v>290</v>
      </c>
      <c r="F54" s="6" t="s">
        <v>1046</v>
      </c>
      <c r="G54" s="16" t="s">
        <v>340</v>
      </c>
      <c r="H54" t="s">
        <v>180</v>
      </c>
      <c r="I54" t="s">
        <v>308</v>
      </c>
      <c r="J54" t="s">
        <v>362</v>
      </c>
    </row>
    <row r="55" spans="1:10" ht="19.899999999999999">
      <c r="A55" s="56" t="s">
        <v>1282</v>
      </c>
      <c r="B55" t="s">
        <v>1410</v>
      </c>
      <c r="C55" t="s">
        <v>1352</v>
      </c>
      <c r="D55" t="s">
        <v>1296</v>
      </c>
      <c r="E55" t="s">
        <v>295</v>
      </c>
      <c r="F55" s="6" t="s">
        <v>1047</v>
      </c>
      <c r="G55" s="16" t="s">
        <v>342</v>
      </c>
      <c r="H55" t="s">
        <v>180</v>
      </c>
      <c r="I55" t="s">
        <v>294</v>
      </c>
      <c r="J55" t="s">
        <v>362</v>
      </c>
    </row>
    <row r="56" spans="1:10" ht="19.899999999999999">
      <c r="A56" s="56" t="s">
        <v>1282</v>
      </c>
      <c r="B56" t="s">
        <v>1410</v>
      </c>
      <c r="C56" t="s">
        <v>1354</v>
      </c>
      <c r="D56" t="s">
        <v>1301</v>
      </c>
      <c r="E56" t="s">
        <v>298</v>
      </c>
      <c r="F56" s="6" t="s">
        <v>1048</v>
      </c>
      <c r="G56" s="16" t="s">
        <v>344</v>
      </c>
      <c r="H56" t="s">
        <v>180</v>
      </c>
      <c r="I56" t="s">
        <v>383</v>
      </c>
      <c r="J56" t="s">
        <v>362</v>
      </c>
    </row>
    <row r="57" spans="1:10" ht="19.899999999999999">
      <c r="A57" s="56" t="s">
        <v>1282</v>
      </c>
      <c r="B57" t="s">
        <v>1410</v>
      </c>
      <c r="C57" t="s">
        <v>1384</v>
      </c>
      <c r="D57" t="s">
        <v>1385</v>
      </c>
      <c r="E57" s="14" t="s">
        <v>380</v>
      </c>
      <c r="F57" s="6" t="s">
        <v>1049</v>
      </c>
      <c r="G57" s="16" t="s">
        <v>338</v>
      </c>
      <c r="H57" t="s">
        <v>180</v>
      </c>
      <c r="I57" t="s">
        <v>379</v>
      </c>
      <c r="J57" t="s">
        <v>362</v>
      </c>
    </row>
    <row r="58" spans="1:10" ht="19.899999999999999">
      <c r="A58" s="56" t="s">
        <v>1282</v>
      </c>
      <c r="B58" t="s">
        <v>1410</v>
      </c>
      <c r="C58" s="6" t="s">
        <v>1386</v>
      </c>
      <c r="D58" s="6" t="s">
        <v>1387</v>
      </c>
      <c r="E58" t="s">
        <v>382</v>
      </c>
      <c r="F58" s="6" t="s">
        <v>1050</v>
      </c>
      <c r="G58" s="16" t="s">
        <v>351</v>
      </c>
      <c r="H58" t="s">
        <v>180</v>
      </c>
      <c r="I58" t="s">
        <v>381</v>
      </c>
      <c r="J58" t="s">
        <v>362</v>
      </c>
    </row>
    <row r="59" spans="1:10" ht="19.899999999999999">
      <c r="A59" s="56" t="s">
        <v>1282</v>
      </c>
      <c r="B59" t="s">
        <v>1411</v>
      </c>
      <c r="C59" s="6" t="s">
        <v>1359</v>
      </c>
      <c r="D59" s="6" t="s">
        <v>1360</v>
      </c>
      <c r="E59" t="s">
        <v>327</v>
      </c>
      <c r="F59" s="6" t="s">
        <v>1051</v>
      </c>
      <c r="G59" s="16" t="s">
        <v>352</v>
      </c>
      <c r="H59" t="s">
        <v>180</v>
      </c>
      <c r="I59" t="s">
        <v>364</v>
      </c>
      <c r="J59" t="s">
        <v>519</v>
      </c>
    </row>
    <row r="60" spans="1:10" ht="19.899999999999999">
      <c r="A60" s="56" t="s">
        <v>1282</v>
      </c>
      <c r="B60" t="s">
        <v>1411</v>
      </c>
      <c r="C60" t="s">
        <v>1388</v>
      </c>
      <c r="D60" t="s">
        <v>1389</v>
      </c>
      <c r="E60" t="s">
        <v>386</v>
      </c>
      <c r="F60" s="6" t="s">
        <v>1052</v>
      </c>
      <c r="G60" s="16" t="s">
        <v>341</v>
      </c>
      <c r="H60" t="s">
        <v>190</v>
      </c>
      <c r="I60" t="s">
        <v>387</v>
      </c>
      <c r="J60">
        <v>1.1000000000000001</v>
      </c>
    </row>
    <row r="61" spans="1:10" ht="19.899999999999999">
      <c r="A61" s="56" t="s">
        <v>1282</v>
      </c>
      <c r="B61" t="s">
        <v>1411</v>
      </c>
      <c r="C61" s="6" t="s">
        <v>1372</v>
      </c>
      <c r="D61" s="6" t="s">
        <v>1373</v>
      </c>
      <c r="E61" t="s">
        <v>331</v>
      </c>
      <c r="F61" s="6" t="s">
        <v>1053</v>
      </c>
      <c r="G61" s="16" t="s">
        <v>350</v>
      </c>
      <c r="H61" t="s">
        <v>180</v>
      </c>
      <c r="I61" t="s">
        <v>385</v>
      </c>
      <c r="J61" t="s">
        <v>362</v>
      </c>
    </row>
    <row r="62" spans="1:10" ht="19.899999999999999">
      <c r="A62" s="56" t="s">
        <v>1282</v>
      </c>
      <c r="B62" t="s">
        <v>1411</v>
      </c>
      <c r="C62" t="s">
        <v>1390</v>
      </c>
      <c r="D62" t="s">
        <v>1391</v>
      </c>
      <c r="E62" t="s">
        <v>388</v>
      </c>
      <c r="F62" s="6" t="s">
        <v>1054</v>
      </c>
      <c r="G62" s="16" t="s">
        <v>338</v>
      </c>
      <c r="H62" s="14" t="s">
        <v>197</v>
      </c>
      <c r="I62" t="s">
        <v>389</v>
      </c>
      <c r="J62" t="s">
        <v>362</v>
      </c>
    </row>
    <row r="63" spans="1:10" ht="19.899999999999999">
      <c r="A63" s="56" t="s">
        <v>1282</v>
      </c>
      <c r="B63" t="s">
        <v>1412</v>
      </c>
      <c r="C63" t="s">
        <v>1334</v>
      </c>
      <c r="D63" t="s">
        <v>1335</v>
      </c>
      <c r="E63" t="s">
        <v>303</v>
      </c>
      <c r="F63" s="6" t="s">
        <v>1055</v>
      </c>
      <c r="G63" s="16" t="s">
        <v>346</v>
      </c>
      <c r="H63" t="s">
        <v>304</v>
      </c>
      <c r="I63" t="s">
        <v>305</v>
      </c>
      <c r="J63" t="s">
        <v>362</v>
      </c>
    </row>
    <row r="64" spans="1:10" ht="19.899999999999999">
      <c r="A64" s="56" t="s">
        <v>1282</v>
      </c>
      <c r="B64" t="s">
        <v>1412</v>
      </c>
      <c r="C64" t="s">
        <v>1289</v>
      </c>
      <c r="D64" t="s">
        <v>1288</v>
      </c>
      <c r="E64" t="s">
        <v>311</v>
      </c>
      <c r="F64" s="6" t="s">
        <v>1056</v>
      </c>
      <c r="G64" s="16" t="s">
        <v>338</v>
      </c>
      <c r="H64" t="s">
        <v>286</v>
      </c>
      <c r="I64" t="s">
        <v>287</v>
      </c>
      <c r="J64" t="s">
        <v>362</v>
      </c>
    </row>
    <row r="65" spans="1:10" ht="19.899999999999999">
      <c r="A65" s="56" t="s">
        <v>1282</v>
      </c>
      <c r="B65" t="s">
        <v>1412</v>
      </c>
      <c r="C65" t="s">
        <v>1293</v>
      </c>
      <c r="D65" t="s">
        <v>1290</v>
      </c>
      <c r="E65" t="s">
        <v>288</v>
      </c>
      <c r="F65" s="6" t="s">
        <v>1057</v>
      </c>
      <c r="G65" s="16" t="s">
        <v>337</v>
      </c>
      <c r="H65" t="s">
        <v>304</v>
      </c>
      <c r="I65" t="s">
        <v>282</v>
      </c>
      <c r="J65" t="s">
        <v>362</v>
      </c>
    </row>
    <row r="66" spans="1:10" ht="19.899999999999999">
      <c r="A66" s="56" t="s">
        <v>1282</v>
      </c>
      <c r="B66" t="s">
        <v>1412</v>
      </c>
      <c r="C66" t="s">
        <v>1292</v>
      </c>
      <c r="D66" t="s">
        <v>1291</v>
      </c>
      <c r="E66" t="s">
        <v>290</v>
      </c>
      <c r="F66" s="6" t="s">
        <v>1058</v>
      </c>
      <c r="G66" s="16" t="s">
        <v>340</v>
      </c>
      <c r="H66" t="s">
        <v>384</v>
      </c>
      <c r="I66" t="s">
        <v>308</v>
      </c>
      <c r="J66" t="s">
        <v>362</v>
      </c>
    </row>
    <row r="67" spans="1:10" ht="19.899999999999999">
      <c r="A67" s="56" t="s">
        <v>1282</v>
      </c>
      <c r="B67" t="s">
        <v>1412</v>
      </c>
      <c r="C67" t="s">
        <v>1336</v>
      </c>
      <c r="D67" t="s">
        <v>1296</v>
      </c>
      <c r="E67" t="s">
        <v>295</v>
      </c>
      <c r="F67" s="6" t="s">
        <v>1059</v>
      </c>
      <c r="G67" s="16" t="s">
        <v>342</v>
      </c>
      <c r="H67" t="s">
        <v>384</v>
      </c>
      <c r="I67" t="s">
        <v>294</v>
      </c>
      <c r="J67" t="s">
        <v>362</v>
      </c>
    </row>
    <row r="68" spans="1:10" ht="19.899999999999999">
      <c r="A68" s="56" t="s">
        <v>1282</v>
      </c>
      <c r="B68" t="s">
        <v>1412</v>
      </c>
      <c r="C68" t="s">
        <v>1337</v>
      </c>
      <c r="D68" t="s">
        <v>1338</v>
      </c>
      <c r="E68" t="s">
        <v>309</v>
      </c>
      <c r="F68" s="6" t="s">
        <v>1060</v>
      </c>
      <c r="G68" s="16" t="s">
        <v>347</v>
      </c>
      <c r="H68" s="14" t="s">
        <v>197</v>
      </c>
      <c r="I68" t="s">
        <v>390</v>
      </c>
      <c r="J68" t="s">
        <v>362</v>
      </c>
    </row>
    <row r="69" spans="1:10" ht="19.899999999999999">
      <c r="A69" s="56" t="s">
        <v>1282</v>
      </c>
      <c r="B69" t="s">
        <v>1412</v>
      </c>
      <c r="C69" s="6" t="s">
        <v>1392</v>
      </c>
      <c r="D69" s="6" t="s">
        <v>1393</v>
      </c>
      <c r="E69" t="s">
        <v>391</v>
      </c>
      <c r="F69" s="6" t="s">
        <v>1061</v>
      </c>
      <c r="G69" s="16" t="s">
        <v>338</v>
      </c>
      <c r="H69" t="s">
        <v>384</v>
      </c>
      <c r="I69" t="s">
        <v>381</v>
      </c>
      <c r="J69" t="s">
        <v>362</v>
      </c>
    </row>
    <row r="70" spans="1:10" ht="19.899999999999999">
      <c r="A70" s="56" t="s">
        <v>1282</v>
      </c>
      <c r="B70" t="s">
        <v>1412</v>
      </c>
      <c r="C70" t="s">
        <v>1394</v>
      </c>
      <c r="D70" t="s">
        <v>1395</v>
      </c>
      <c r="E70" t="s">
        <v>392</v>
      </c>
      <c r="F70" s="6" t="s">
        <v>1062</v>
      </c>
      <c r="G70" s="16" t="s">
        <v>353</v>
      </c>
      <c r="H70" t="s">
        <v>384</v>
      </c>
      <c r="I70" t="s">
        <v>393</v>
      </c>
      <c r="J70" t="s">
        <v>362</v>
      </c>
    </row>
    <row r="71" spans="1:10" ht="20.25">
      <c r="A71" s="56" t="s">
        <v>1282</v>
      </c>
      <c r="B71" t="s">
        <v>1413</v>
      </c>
      <c r="C71" s="6" t="s">
        <v>1357</v>
      </c>
      <c r="D71" s="6" t="s">
        <v>1358</v>
      </c>
      <c r="E71" t="s">
        <v>313</v>
      </c>
      <c r="F71" s="6" t="s">
        <v>1063</v>
      </c>
      <c r="G71" s="16" t="s">
        <v>338</v>
      </c>
      <c r="H71" s="17" t="s">
        <v>314</v>
      </c>
      <c r="I71" t="s">
        <v>397</v>
      </c>
      <c r="J71" t="s">
        <v>362</v>
      </c>
    </row>
    <row r="72" spans="1:10" ht="19.899999999999999">
      <c r="A72" s="56" t="s">
        <v>1282</v>
      </c>
      <c r="B72" t="s">
        <v>1413</v>
      </c>
      <c r="C72" s="6" t="s">
        <v>1361</v>
      </c>
      <c r="D72" s="6" t="s">
        <v>1362</v>
      </c>
      <c r="E72" t="s">
        <v>317</v>
      </c>
      <c r="F72" s="6" t="s">
        <v>1064</v>
      </c>
      <c r="G72" s="16" t="s">
        <v>338</v>
      </c>
      <c r="H72" t="s">
        <v>180</v>
      </c>
      <c r="I72" t="s">
        <v>319</v>
      </c>
      <c r="J72" t="s">
        <v>362</v>
      </c>
    </row>
    <row r="73" spans="1:10" ht="19.899999999999999">
      <c r="A73" s="56" t="s">
        <v>1282</v>
      </c>
      <c r="B73" t="s">
        <v>1413</v>
      </c>
      <c r="C73" s="6" t="s">
        <v>1363</v>
      </c>
      <c r="D73" s="6" t="s">
        <v>1364</v>
      </c>
      <c r="E73" t="s">
        <v>395</v>
      </c>
      <c r="F73" s="6" t="s">
        <v>1065</v>
      </c>
      <c r="G73" s="16" t="s">
        <v>349</v>
      </c>
      <c r="H73" t="s">
        <v>396</v>
      </c>
      <c r="I73" t="s">
        <v>394</v>
      </c>
      <c r="J73" t="s">
        <v>362</v>
      </c>
    </row>
    <row r="74" spans="1:10" ht="19.899999999999999">
      <c r="A74" s="56" t="s">
        <v>1282</v>
      </c>
      <c r="B74" t="s">
        <v>1414</v>
      </c>
      <c r="C74" s="6" t="s">
        <v>1355</v>
      </c>
      <c r="D74" s="6" t="s">
        <v>1356</v>
      </c>
      <c r="E74" t="s">
        <v>400</v>
      </c>
      <c r="F74" s="6" t="s">
        <v>1066</v>
      </c>
      <c r="G74" s="16" t="s">
        <v>342</v>
      </c>
      <c r="H74" t="s">
        <v>180</v>
      </c>
      <c r="I74" t="s">
        <v>399</v>
      </c>
      <c r="J74">
        <v>1.1000000000000001</v>
      </c>
    </row>
    <row r="75" spans="1:10" ht="20.25">
      <c r="A75" s="56" t="s">
        <v>1282</v>
      </c>
      <c r="B75" t="s">
        <v>1414</v>
      </c>
      <c r="C75" s="6" t="s">
        <v>1357</v>
      </c>
      <c r="D75" s="6" t="s">
        <v>1358</v>
      </c>
      <c r="E75" t="s">
        <v>313</v>
      </c>
      <c r="F75" s="6" t="s">
        <v>1067</v>
      </c>
      <c r="G75" s="16" t="s">
        <v>338</v>
      </c>
      <c r="H75" s="17" t="s">
        <v>314</v>
      </c>
      <c r="I75" t="s">
        <v>397</v>
      </c>
      <c r="J75" t="s">
        <v>362</v>
      </c>
    </row>
    <row r="76" spans="1:10" ht="19.899999999999999">
      <c r="A76" s="56" t="s">
        <v>1282</v>
      </c>
      <c r="B76" t="s">
        <v>1414</v>
      </c>
      <c r="C76" s="6" t="s">
        <v>1359</v>
      </c>
      <c r="D76" s="6" t="s">
        <v>1360</v>
      </c>
      <c r="E76" t="s">
        <v>317</v>
      </c>
      <c r="F76" s="6" t="s">
        <v>1068</v>
      </c>
      <c r="G76" s="16" t="s">
        <v>342</v>
      </c>
      <c r="H76" t="s">
        <v>180</v>
      </c>
      <c r="I76" t="s">
        <v>364</v>
      </c>
      <c r="J76">
        <v>3.2</v>
      </c>
    </row>
    <row r="77" spans="1:10" ht="19.899999999999999">
      <c r="A77" s="56" t="s">
        <v>1282</v>
      </c>
      <c r="B77" t="s">
        <v>1414</v>
      </c>
      <c r="C77" s="6" t="s">
        <v>1361</v>
      </c>
      <c r="D77" s="6" t="s">
        <v>1362</v>
      </c>
      <c r="E77" t="s">
        <v>318</v>
      </c>
      <c r="F77" s="6" t="s">
        <v>1069</v>
      </c>
      <c r="G77" s="16" t="s">
        <v>338</v>
      </c>
      <c r="H77" t="s">
        <v>180</v>
      </c>
      <c r="I77" t="s">
        <v>319</v>
      </c>
      <c r="J77" t="s">
        <v>362</v>
      </c>
    </row>
    <row r="78" spans="1:10" ht="19.899999999999999">
      <c r="A78" s="56" t="s">
        <v>1282</v>
      </c>
      <c r="B78" t="s">
        <v>1414</v>
      </c>
      <c r="C78" t="s">
        <v>1292</v>
      </c>
      <c r="D78" t="s">
        <v>1291</v>
      </c>
      <c r="E78" t="s">
        <v>290</v>
      </c>
      <c r="F78" s="6" t="s">
        <v>1070</v>
      </c>
      <c r="G78" s="16" t="s">
        <v>340</v>
      </c>
      <c r="H78" t="s">
        <v>180</v>
      </c>
      <c r="I78" t="s">
        <v>308</v>
      </c>
      <c r="J78" t="s">
        <v>362</v>
      </c>
    </row>
    <row r="79" spans="1:10" ht="19.899999999999999">
      <c r="A79" s="56" t="s">
        <v>1282</v>
      </c>
      <c r="B79" t="s">
        <v>1414</v>
      </c>
      <c r="C79" s="6" t="s">
        <v>1363</v>
      </c>
      <c r="D79" s="6" t="s">
        <v>1364</v>
      </c>
      <c r="E79" t="s">
        <v>318</v>
      </c>
      <c r="F79" s="6" t="s">
        <v>1071</v>
      </c>
      <c r="G79" s="16" t="s">
        <v>349</v>
      </c>
      <c r="H79" t="s">
        <v>396</v>
      </c>
      <c r="I79" t="s">
        <v>394</v>
      </c>
      <c r="J79" t="s">
        <v>362</v>
      </c>
    </row>
    <row r="80" spans="1:10" ht="19.899999999999999">
      <c r="A80" s="56" t="s">
        <v>1282</v>
      </c>
      <c r="B80" t="s">
        <v>1414</v>
      </c>
      <c r="C80" s="6" t="s">
        <v>1396</v>
      </c>
      <c r="D80" s="6" t="s">
        <v>1373</v>
      </c>
      <c r="E80" t="s">
        <v>331</v>
      </c>
      <c r="F80" s="6" t="s">
        <v>1072</v>
      </c>
      <c r="G80" s="16" t="s">
        <v>350</v>
      </c>
      <c r="H80" t="s">
        <v>180</v>
      </c>
      <c r="I80" t="s">
        <v>385</v>
      </c>
      <c r="J80" t="s">
        <v>362</v>
      </c>
    </row>
    <row r="81" spans="1:10" ht="19.899999999999999">
      <c r="A81" s="56" t="s">
        <v>1282</v>
      </c>
      <c r="B81" t="s">
        <v>1414</v>
      </c>
      <c r="C81" s="6" t="s">
        <v>1386</v>
      </c>
      <c r="D81" s="6" t="s">
        <v>1387</v>
      </c>
      <c r="E81" t="s">
        <v>382</v>
      </c>
      <c r="F81" s="6" t="s">
        <v>1073</v>
      </c>
      <c r="G81" s="16" t="s">
        <v>351</v>
      </c>
      <c r="H81" t="s">
        <v>180</v>
      </c>
      <c r="I81" t="s">
        <v>381</v>
      </c>
      <c r="J81" t="s">
        <v>362</v>
      </c>
    </row>
    <row r="82" spans="1:10" ht="20.25">
      <c r="A82" s="56" t="s">
        <v>1282</v>
      </c>
      <c r="B82" t="s">
        <v>279</v>
      </c>
      <c r="C82" s="6" t="s">
        <v>1397</v>
      </c>
      <c r="D82" s="6" t="s">
        <v>1398</v>
      </c>
      <c r="E82" s="17" t="s">
        <v>62</v>
      </c>
      <c r="F82" s="6" t="s">
        <v>402</v>
      </c>
      <c r="G82" s="16" t="s">
        <v>349</v>
      </c>
      <c r="H82" s="14" t="s">
        <v>401</v>
      </c>
      <c r="I82" t="s">
        <v>403</v>
      </c>
    </row>
    <row r="83" spans="1:10" ht="16.899999999999999">
      <c r="A83" s="56" t="s">
        <v>1282</v>
      </c>
      <c r="B83" t="s">
        <v>279</v>
      </c>
      <c r="C83" s="6" t="s">
        <v>1401</v>
      </c>
      <c r="D83" s="6" t="s">
        <v>1402</v>
      </c>
      <c r="E83" t="s">
        <v>406</v>
      </c>
      <c r="F83" s="6" t="s">
        <v>407</v>
      </c>
      <c r="G83" t="s">
        <v>350</v>
      </c>
      <c r="H83" s="14" t="s">
        <v>405</v>
      </c>
      <c r="I83" t="s">
        <v>404</v>
      </c>
      <c r="J83">
        <v>1.5</v>
      </c>
    </row>
    <row r="84" spans="1:10" ht="19.899999999999999">
      <c r="A84" s="56" t="s">
        <v>1282</v>
      </c>
      <c r="B84" t="s">
        <v>279</v>
      </c>
      <c r="C84" s="6" t="s">
        <v>1399</v>
      </c>
      <c r="D84" s="6" t="s">
        <v>1400</v>
      </c>
      <c r="E84" t="s">
        <v>410</v>
      </c>
      <c r="F84" s="6" t="s">
        <v>409</v>
      </c>
      <c r="G84" s="16" t="s">
        <v>354</v>
      </c>
      <c r="H84" s="14" t="s">
        <v>411</v>
      </c>
      <c r="I84" t="s">
        <v>408</v>
      </c>
      <c r="J84" t="s">
        <v>362</v>
      </c>
    </row>
    <row r="85" spans="1:10" ht="16.899999999999999">
      <c r="A85" s="56" t="s">
        <v>1282</v>
      </c>
      <c r="B85" t="s">
        <v>279</v>
      </c>
      <c r="C85" s="6" t="s">
        <v>1403</v>
      </c>
      <c r="D85" s="6" t="s">
        <v>1404</v>
      </c>
      <c r="E85" s="14" t="s">
        <v>414</v>
      </c>
      <c r="F85" s="6" t="s">
        <v>412</v>
      </c>
      <c r="G85" t="s">
        <v>349</v>
      </c>
      <c r="H85" s="14" t="s">
        <v>398</v>
      </c>
      <c r="I85" t="s">
        <v>413</v>
      </c>
      <c r="J85">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825EE-CA4F-7C4C-B31C-7476F76B608A}">
  <sheetPr codeName="Sheet3">
    <tabColor rgb="FF92D050"/>
  </sheetPr>
  <dimension ref="B1:K81"/>
  <sheetViews>
    <sheetView topLeftCell="A42" zoomScale="80" zoomScaleNormal="80" workbookViewId="0">
      <selection activeCell="B53" sqref="B53"/>
    </sheetView>
  </sheetViews>
  <sheetFormatPr defaultColWidth="11" defaultRowHeight="15.75"/>
  <cols>
    <col min="1" max="1" width="3.8125" customWidth="1"/>
    <col min="2" max="2" width="49.1875" customWidth="1"/>
    <col min="3" max="3" width="54.6875" customWidth="1"/>
    <col min="4" max="4" width="85.6875" customWidth="1"/>
    <col min="5" max="5" width="36.1875" customWidth="1"/>
    <col min="6" max="6" width="54.6875" customWidth="1"/>
    <col min="7" max="7" width="28" customWidth="1"/>
  </cols>
  <sheetData>
    <row r="1" spans="2:7" ht="16.149999999999999" thickBot="1"/>
    <row r="2" spans="2:7" ht="16.149999999999999" thickBot="1">
      <c r="B2" s="1" t="s">
        <v>9</v>
      </c>
      <c r="C2" s="2" t="s">
        <v>1</v>
      </c>
    </row>
    <row r="4" spans="2:7" ht="24" customHeight="1">
      <c r="B4" s="5" t="s">
        <v>10</v>
      </c>
      <c r="C4" s="5" t="s">
        <v>11</v>
      </c>
      <c r="D4" s="5" t="s">
        <v>12</v>
      </c>
      <c r="E4" s="5" t="s">
        <v>13</v>
      </c>
      <c r="F4" s="5" t="s">
        <v>14</v>
      </c>
      <c r="G4" s="5" t="s">
        <v>15</v>
      </c>
    </row>
    <row r="5" spans="2:7">
      <c r="B5" t="str">
        <f ca="1">OFFSET(BloatingTable2,MATCH('Health Concern'!$B$3,'Digestion &amp; Liver'!$C$2,0)-1,0,1,COLUMNS(BloatingTable2))</f>
        <v>Angelica</v>
      </c>
      <c r="C5" t="str">
        <f ca="1">OFFSET(BloatingTable2,MATCH('Health Concern'!$B$3,'Digestion &amp; Liver'!$C$2,0)-1,0,1,COLUMNS(BloatingTable2))</f>
        <v>Carminative, Diaphoretic</v>
      </c>
      <c r="D5" t="str">
        <f ca="1">OFFSET(BloatingTable2,MATCH('Health Concern'!$B$3,'Digestion &amp; Liver'!$C$2,0)-1,0,1,COLUMNS(BloatingTable2))</f>
        <v>Dyspepsia</v>
      </c>
      <c r="E5" t="str">
        <f ca="1">OFFSET(BloatingTable2,MATCH('Health Concern'!$B$3,'Digestion &amp; Liver'!$C$2,0)-1,0,1,COLUMNS(BloatingTable2))</f>
        <v>Warm, Aromatic</v>
      </c>
      <c r="F5" t="str">
        <f ca="1">OFFSET(BloatingTable2,MATCH('Health Concern'!$B$3,'Digestion &amp; Liver'!$C$2,0)-1,0,1,COLUMNS(BloatingTable2))</f>
        <v>Avoid during pregnancy and lactation</v>
      </c>
      <c r="G5" t="str">
        <f ca="1">OFFSET(BloatingTable2,MATCH('Health Concern'!$B$3,'Digestion &amp; Liver'!$C$2,0)-1,0,1,COLUMNS(BloatingTable2))</f>
        <v>Infusion: 2-3g dried root</v>
      </c>
    </row>
    <row r="6" spans="2:7">
      <c r="B6" t="str">
        <f ca="1">OFFSET(BloatingTable2,MATCH('Health Concern'!$B$3,'Digestion &amp; Liver'!$C$2,0), 0,1,COLUMNS(BloatingTable2))</f>
        <v>Aniseed</v>
      </c>
      <c r="C6" t="str">
        <f ca="1">OFFSET(BloatingTable2,MATCH('Health Concern'!$B$3,'Digestion &amp; Liver'!$C$2,0), 0,1,COLUMNS(BloatingTable2))</f>
        <v>Carminative</v>
      </c>
      <c r="D6" t="str">
        <f ca="1">OFFSET(BloatingTable2,MATCH('Health Concern'!$B$3,'Digestion &amp; Liver'!$C$2,0), 0,1,COLUMNS(BloatingTable2))</f>
        <v>Colic (Infants), Dyspepsia</v>
      </c>
      <c r="E6" t="str">
        <f ca="1">OFFSET(BloatingTable2,MATCH('Health Concern'!$B$3,'Digestion &amp; Liver'!$C$2,0), 0,1,COLUMNS(BloatingTable2))</f>
        <v>Warm, Aromatic</v>
      </c>
      <c r="F6" t="str">
        <f ca="1">OFFSET(BloatingTable2,MATCH('Health Concern'!$B$3,'Digestion &amp; Liver'!$C$2,0), 0,1,COLUMNS(BloatingTable2))</f>
        <v>Use with caution in pregnancy</v>
      </c>
      <c r="G6" t="str">
        <f ca="1">OFFSET(BloatingTable2,MATCH('Health Concern'!$B$3,'Digestion &amp; Liver'!$C$2,0), 0,1,COLUMNS(BloatingTable2))</f>
        <v>Infusion: 0.5-2g crushed seeds</v>
      </c>
    </row>
    <row r="7" spans="2:7">
      <c r="B7" t="str">
        <f ca="1">OFFSET(BloatingTable2,MATCH('Health Concern'!$B$3,'Digestion &amp; Liver'!$C$2,0)+1, 0,1,COLUMNS(BloatingTable2))</f>
        <v>Chamomile</v>
      </c>
      <c r="C7" t="str">
        <f ca="1">OFFSET(BloatingTable2,MATCH('Health Concern'!$B$3,'Digestion &amp; Liver'!$C$2,0)+1, 0,1,COLUMNS(BloatingTable2))</f>
        <v>Carminative, Nervine</v>
      </c>
      <c r="D7" t="str">
        <f ca="1">OFFSET(BloatingTable2,MATCH('Health Concern'!$B$3,'Digestion &amp; Liver'!$C$2,0)+1, 0,1,COLUMNS(BloatingTable2))</f>
        <v>Colic (Infants), Dyspepsia</v>
      </c>
      <c r="E7" t="str">
        <f ca="1">OFFSET(BloatingTable2,MATCH('Health Concern'!$B$3,'Digestion &amp; Liver'!$C$2,0)+1, 0,1,COLUMNS(BloatingTable2))</f>
        <v>Neutral, Bitter, Nervine</v>
      </c>
      <c r="F7" t="str">
        <f ca="1">OFFSET(BloatingTable2,MATCH('Health Concern'!$B$3,'Digestion &amp; Liver'!$C$2,0)+1, 0,1,COLUMNS(BloatingTable2))</f>
        <v>Allergic reactions possible</v>
      </c>
      <c r="G7" t="str">
        <f ca="1">OFFSET(BloatingTable2,MATCH('Health Concern'!$B$3,'Digestion &amp; Liver'!$C$2,0)+1, 0,1,COLUMNS(BloatingTable2))</f>
        <v>Infusion: 2-5g dried flowers</v>
      </c>
    </row>
    <row r="8" spans="2:7">
      <c r="B8" t="str">
        <f ca="1">OFFSET(BloatingTable2,MATCH('Health Concern'!$B$3,'Digestion &amp; Liver'!$C$2,0)+2, 0,1,COLUMNS(BloatingTable2))</f>
        <v>Cinnamon</v>
      </c>
      <c r="C8" t="str">
        <f ca="1">OFFSET(BloatingTable2,MATCH('Health Concern'!$B$3,'Digestion &amp; Liver'!$C$2,0)+2, 0,1,COLUMNS(BloatingTable2))</f>
        <v>Carminative, Astringent</v>
      </c>
      <c r="D8" t="str">
        <f ca="1">OFFSET(BloatingTable2,MATCH('Health Concern'!$B$3,'Digestion &amp; Liver'!$C$2,0)+2, 0,1,COLUMNS(BloatingTable2))</f>
        <v>Diarrhoea, Dyspepsia</v>
      </c>
      <c r="E8" t="str">
        <f ca="1">OFFSET(BloatingTable2,MATCH('Health Concern'!$B$3,'Digestion &amp; Liver'!$C$2,0)+2, 0,1,COLUMNS(BloatingTable2))</f>
        <v>Hot, Aromatic</v>
      </c>
      <c r="F8" t="str">
        <f ca="1">OFFSET(BloatingTable2,MATCH('Health Concern'!$B$3,'Digestion &amp; Liver'!$C$2,0)+2, 0,1,COLUMNS(BloatingTable2))</f>
        <v>Avoid high doses during pregnancy</v>
      </c>
      <c r="G8" t="str">
        <f ca="1">OFFSET(BloatingTable2,MATCH('Health Concern'!$B$3,'Digestion &amp; Liver'!$C$2,0)+2, 0,1,COLUMNS(BloatingTable2))</f>
        <v>Infusion: 1-4g powdered bark</v>
      </c>
    </row>
    <row r="9" spans="2:7">
      <c r="B9" t="str">
        <f ca="1">OFFSET(BloatingTable2,MATCH('Health Concern'!$B$3,'Digestion &amp; Liver'!$C$2,0)+3, 0,1,COLUMNS(BloatingTable2))</f>
        <v>Dandelion Root</v>
      </c>
      <c r="C9" t="str">
        <f ca="1">OFFSET(BloatingTable2,MATCH('Health Concern'!$B$3,'Digestion &amp; Liver'!$C$2,0)+3, 0,1,COLUMNS(BloatingTable2))</f>
        <v>Cholagogue, Diuretic</v>
      </c>
      <c r="D9" t="str">
        <f ca="1">OFFSET(BloatingTable2,MATCH('Health Concern'!$B$3,'Digestion &amp; Liver'!$C$2,0)+3, 0,1,COLUMNS(BloatingTable2))</f>
        <v>Constipation, Dyspepsia</v>
      </c>
      <c r="E9" t="str">
        <f ca="1">OFFSET(BloatingTable2,MATCH('Health Concern'!$B$3,'Digestion &amp; Liver'!$C$2,0)+3, 0,1,COLUMNS(BloatingTable2))</f>
        <v>Cool, Bitter</v>
      </c>
      <c r="F9" t="str">
        <f ca="1">OFFSET(BloatingTable2,MATCH('Health Concern'!$B$3,'Digestion &amp; Liver'!$C$2,0)+3, 0,1,COLUMNS(BloatingTable2))</f>
        <v>Avoid in cases of bile duct obstruction</v>
      </c>
      <c r="G9" t="str">
        <f ca="1">OFFSET(BloatingTable2,MATCH('Health Concern'!$B$3,'Digestion &amp; Liver'!$C$2,0)+3, 0,1,COLUMNS(BloatingTable2))</f>
        <v>Decoction: 2-8g dried root</v>
      </c>
    </row>
    <row r="10" spans="2:7">
      <c r="B10" t="str">
        <f ca="1">OFFSET(BloatingTable2,MATCH('Health Concern'!$B$3,'Digestion &amp; Liver'!$C$2,0)+4, 0,1,COLUMNS(BloatingTable2))</f>
        <v>Fennel</v>
      </c>
      <c r="C10" t="str">
        <f ca="1">OFFSET(BloatingTable2,MATCH('Health Concern'!$B$3,'Digestion &amp; Liver'!$C$2,0)+4, 0,1,COLUMNS(BloatingTable2))</f>
        <v>Carminative</v>
      </c>
      <c r="D10" t="str">
        <f ca="1">OFFSET(BloatingTable2,MATCH('Health Concern'!$B$3,'Digestion &amp; Liver'!$C$2,0)+4, 0,1,COLUMNS(BloatingTable2))</f>
        <v>Colic (Infants), Dyspepsia</v>
      </c>
      <c r="E10" t="str">
        <f ca="1">OFFSET(BloatingTable2,MATCH('Health Concern'!$B$3,'Digestion &amp; Liver'!$C$2,0)+4, 0,1,COLUMNS(BloatingTable2))</f>
        <v>Warm, Aromatic</v>
      </c>
      <c r="F10" t="str">
        <f ca="1">OFFSET(BloatingTable2,MATCH('Health Concern'!$B$3,'Digestion &amp; Liver'!$C$2,0)+4, 0,1,COLUMNS(BloatingTable2))</f>
        <v>Use with caution in pregnancy</v>
      </c>
      <c r="G10" t="str">
        <f ca="1">OFFSET(BloatingTable2,MATCH('Health Concern'!$B$3,'Digestion &amp; Liver'!$C$2,0)+4, 0,1,COLUMNS(BloatingTable2))</f>
        <v>Infusion: 1-2g crushed seeds</v>
      </c>
    </row>
    <row r="11" spans="2:7">
      <c r="B11" t="str">
        <f ca="1">OFFSET(BloatingTable2,MATCH('Health Concern'!$B$3,'Digestion &amp; Liver'!$C$2,0)+5, 0,1,COLUMNS(BloatingTable2))</f>
        <v>Gentian</v>
      </c>
      <c r="C11" t="str">
        <f ca="1">OFFSET(BloatingTable2,MATCH('Health Concern'!$B$3,'Digestion &amp; Liver'!$C$2,0)+5, 0,1,COLUMNS(BloatingTable2))</f>
        <v>Bitter Tonic</v>
      </c>
      <c r="D11" t="str">
        <f ca="1">OFFSET(BloatingTable2,MATCH('Health Concern'!$B$3,'Digestion &amp; Liver'!$C$2,0)+5, 0,1,COLUMNS(BloatingTable2))</f>
        <v>Dyspepsia</v>
      </c>
      <c r="E11" t="str">
        <f ca="1">OFFSET(BloatingTable2,MATCH('Health Concern'!$B$3,'Digestion &amp; Liver'!$C$2,0)+5, 0,1,COLUMNS(BloatingTable2))</f>
        <v>Cold, Bitter</v>
      </c>
      <c r="F11" t="str">
        <f ca="1">OFFSET(BloatingTable2,MATCH('Health Concern'!$B$3,'Digestion &amp; Liver'!$C$2,0)+5, 0,1,COLUMNS(BloatingTable2))</f>
        <v>Avoid with gastric or duodenal ulcers</v>
      </c>
      <c r="G11" t="str">
        <f ca="1">OFFSET(BloatingTable2,MATCH('Health Concern'!$B$3,'Digestion &amp; Liver'!$C$2,0)+5, 0,1,COLUMNS(BloatingTable2))</f>
        <v>Infusion: 2-4g dried root</v>
      </c>
    </row>
    <row r="12" spans="2:7">
      <c r="B12" t="str">
        <f ca="1">OFFSET(BloatingTable2,MATCH('Health Concern'!$B$3,'Digestion &amp; Liver'!$C$2,0)+6, 0,1,COLUMNS(BloatingTable2))</f>
        <v>Ginger</v>
      </c>
      <c r="C12" t="str">
        <f ca="1">OFFSET(BloatingTable2,MATCH('Health Concern'!$B$3,'Digestion &amp; Liver'!$C$2,0)+6, 0,1,COLUMNS(BloatingTable2))</f>
        <v>Carminative, Diaphoretic</v>
      </c>
      <c r="D12" t="str">
        <f ca="1">OFFSET(BloatingTable2,MATCH('Health Concern'!$B$3,'Digestion &amp; Liver'!$C$2,0)+6, 0,1,COLUMNS(BloatingTable2))</f>
        <v>Dyspepsia</v>
      </c>
      <c r="E12" t="str">
        <f ca="1">OFFSET(BloatingTable2,MATCH('Health Concern'!$B$3,'Digestion &amp; Liver'!$C$2,0)+6, 0,1,COLUMNS(BloatingTable2))</f>
        <v>Hot, Aromatic</v>
      </c>
      <c r="F12" t="str">
        <f ca="1">OFFSET(BloatingTable2,MATCH('Health Concern'!$B$3,'Digestion &amp; Liver'!$C$2,0)+6, 0,1,COLUMNS(BloatingTable2))</f>
        <v>Use with caution in pregnancy</v>
      </c>
      <c r="G12" t="str">
        <f ca="1">OFFSET(BloatingTable2,MATCH('Health Concern'!$B$3,'Digestion &amp; Liver'!$C$2,0)+6, 0,1,COLUMNS(BloatingTable2))</f>
        <v>Infusion: 2-4g dried rhizome</v>
      </c>
    </row>
    <row r="13" spans="2:7">
      <c r="B13" t="str">
        <f ca="1">OFFSET(BloatingTable2,MATCH('Health Concern'!$B$3,'Digestion &amp; Liver'!$C$2,0)+7, 0,1,COLUMNS(BloatingTable2))</f>
        <v>Globe Artichoke</v>
      </c>
      <c r="C13" t="str">
        <f ca="1">OFFSET(BloatingTable2,MATCH('Health Concern'!$B$3,'Digestion &amp; Liver'!$C$2,0)+7, 0,1,COLUMNS(BloatingTable2))</f>
        <v>Cholagogue, Hepatic</v>
      </c>
      <c r="D13" t="str">
        <f ca="1">OFFSET(BloatingTable2,MATCH('Health Concern'!$B$3,'Digestion &amp; Liver'!$C$2,0)+7, 0,1,COLUMNS(BloatingTable2))</f>
        <v>Dyspepsia</v>
      </c>
      <c r="E13" t="str">
        <f ca="1">OFFSET(BloatingTable2,MATCH('Health Concern'!$B$3,'Digestion &amp; Liver'!$C$2,0)+7, 0,1,COLUMNS(BloatingTable2))</f>
        <v>Cool, Bitter</v>
      </c>
      <c r="F13" t="str">
        <f ca="1">OFFSET(BloatingTable2,MATCH('Health Concern'!$B$3,'Digestion &amp; Liver'!$C$2,0)+7, 0,1,COLUMNS(BloatingTable2))</f>
        <v>Avoid in cases of bile duct obstruction</v>
      </c>
      <c r="G13" t="str">
        <f ca="1">OFFSET(BloatingTable2,MATCH('Health Concern'!$B$3,'Digestion &amp; Liver'!$C$2,0)+7, 0,1,COLUMNS(BloatingTable2))</f>
        <v>Infusion: 2-8g dried leaf</v>
      </c>
    </row>
    <row r="14" spans="2:7">
      <c r="B14" t="str">
        <f ca="1">OFFSET(BloatingTable2,MATCH('Health Concern'!$B$3,'Digestion &amp; Liver'!$C$2,0)+8, 0,1,COLUMNS(BloatingTable2))</f>
        <v>Greater Celandine</v>
      </c>
      <c r="C14" t="str">
        <f ca="1">OFFSET(BloatingTable2,MATCH('Health Concern'!$B$3,'Digestion &amp; Liver'!$C$2,0)+8, 0,1,COLUMNS(BloatingTable2))</f>
        <v>Cholagogue, Hepatic</v>
      </c>
      <c r="D14" t="str">
        <f ca="1">OFFSET(BloatingTable2,MATCH('Health Concern'!$B$3,'Digestion &amp; Liver'!$C$2,0)+8, 0,1,COLUMNS(BloatingTable2))</f>
        <v>Dyspepsia</v>
      </c>
      <c r="E14" t="str">
        <f ca="1">OFFSET(BloatingTable2,MATCH('Health Concern'!$B$3,'Digestion &amp; Liver'!$C$2,0)+8, 0,1,COLUMNS(BloatingTable2))</f>
        <v>Cold, Bitter</v>
      </c>
      <c r="F14" t="str">
        <f ca="1">OFFSET(BloatingTable2,MATCH('Health Concern'!$B$3,'Digestion &amp; Liver'!$C$2,0)+8, 0,1,COLUMNS(BloatingTable2))</f>
        <v>High doses can be toxic</v>
      </c>
      <c r="G14" t="str">
        <f ca="1">OFFSET(BloatingTable2,MATCH('Health Concern'!$B$3,'Digestion &amp; Liver'!$C$2,0)+8, 0,1,COLUMNS(BloatingTable2))</f>
        <v>Infusion: 2-8g dried herb</v>
      </c>
    </row>
    <row r="15" spans="2:7">
      <c r="B15" t="str">
        <f ca="1">OFFSET(BloatingTable2,MATCH('Health Concern'!$B$3,'Digestion &amp; Liver'!$C$2,0)+9, 0,1,COLUMNS(BloatingTable2))</f>
        <v>Kawakawa</v>
      </c>
      <c r="C15" t="str">
        <f ca="1">OFFSET(BloatingTable2,MATCH('Health Concern'!$B$3,'Digestion &amp; Liver'!$C$2,0)+9, 0,1,COLUMNS(BloatingTable2))</f>
        <v>Carminative, Diaphoretic</v>
      </c>
      <c r="D15" t="str">
        <f ca="1">OFFSET(BloatingTable2,MATCH('Health Concern'!$B$3,'Digestion &amp; Liver'!$C$2,0)+9, 0,1,COLUMNS(BloatingTable2))</f>
        <v>Diarrhoea, Dyspepsia</v>
      </c>
      <c r="E15" t="str">
        <f ca="1">OFFSET(BloatingTable2,MATCH('Health Concern'!$B$3,'Digestion &amp; Liver'!$C$2,0)+9, 0,1,COLUMNS(BloatingTable2))</f>
        <v>Hot, Aromatic</v>
      </c>
      <c r="F15" t="str">
        <f ca="1">OFFSET(BloatingTable2,MATCH('Health Concern'!$B$3,'Digestion &amp; Liver'!$C$2,0)+9, 0,1,COLUMNS(BloatingTable2))</f>
        <v>Safe for most individuals</v>
      </c>
      <c r="G15" t="str">
        <f ca="1">OFFSET(BloatingTable2,MATCH('Health Concern'!$B$3,'Digestion &amp; Liver'!$C$2,0)+9, 0,1,COLUMNS(BloatingTable2))</f>
        <v>Infusion: 2-6g dried leaves</v>
      </c>
    </row>
    <row r="16" spans="2:7">
      <c r="B16" t="str">
        <f ca="1">OFFSET(BloatingTable2,MATCH('Health Concern'!$B$3,'Digestion &amp; Liver'!$C$2,0)+10, 0,1,COLUMNS(BloatingTable2))</f>
        <v>Kohekohe</v>
      </c>
      <c r="C16" t="str">
        <f ca="1">OFFSET(BloatingTable2,MATCH('Health Concern'!$B$3,'Digestion &amp; Liver'!$C$2,0)+10, 0,1,COLUMNS(BloatingTable2))</f>
        <v>Astringent</v>
      </c>
      <c r="D16" t="str">
        <f ca="1">OFFSET(BloatingTable2,MATCH('Health Concern'!$B$3,'Digestion &amp; Liver'!$C$2,0)+10, 0,1,COLUMNS(BloatingTable2))</f>
        <v>Diarrhoea</v>
      </c>
      <c r="E16" t="str">
        <f ca="1">OFFSET(BloatingTable2,MATCH('Health Concern'!$B$3,'Digestion &amp; Liver'!$C$2,0)+10, 0,1,COLUMNS(BloatingTable2))</f>
        <v>Cool, Astringent</v>
      </c>
      <c r="F16" t="str">
        <f ca="1">OFFSET(BloatingTable2,MATCH('Health Concern'!$B$3,'Digestion &amp; Liver'!$C$2,0)+10, 0,1,COLUMNS(BloatingTable2))</f>
        <v>Not well-studied for safety</v>
      </c>
      <c r="G16" t="str">
        <f ca="1">OFFSET(BloatingTable2,MATCH('Health Concern'!$B$3,'Digestion &amp; Liver'!$C$2,0)+10, 0,1,COLUMNS(BloatingTable2))</f>
        <v>Infusion: 1-2g dried leaves</v>
      </c>
    </row>
    <row r="17" spans="2:7">
      <c r="B17" t="str">
        <f ca="1">OFFSET(BloatingTable2,MATCH('Health Concern'!$B$3,'Digestion &amp; Liver'!$C$2,0)+11, 0,1,COLUMNS(BloatingTable2))</f>
        <v>Lemon Balm</v>
      </c>
      <c r="C17" t="str">
        <f ca="1">OFFSET(BloatingTable2,MATCH('Health Concern'!$B$3,'Digestion &amp; Liver'!$C$2,0)+11, 0,1,COLUMNS(BloatingTable2))</f>
        <v>Carminative, Nervine</v>
      </c>
      <c r="D17" t="str">
        <f ca="1">OFFSET(BloatingTable2,MATCH('Health Concern'!$B$3,'Digestion &amp; Liver'!$C$2,0)+11, 0,1,COLUMNS(BloatingTable2))</f>
        <v>Colic (Infants), Dyspepsia</v>
      </c>
      <c r="E17" t="str">
        <f ca="1">OFFSET(BloatingTable2,MATCH('Health Concern'!$B$3,'Digestion &amp; Liver'!$C$2,0)+11, 0,1,COLUMNS(BloatingTable2))</f>
        <v>Cool, Aromatic, Nervine</v>
      </c>
      <c r="F17" t="str">
        <f ca="1">OFFSET(BloatingTable2,MATCH('Health Concern'!$B$3,'Digestion &amp; Liver'!$C$2,0)+11, 0,1,COLUMNS(BloatingTable2))</f>
        <v>Safe for most individuals</v>
      </c>
      <c r="G17" t="str">
        <f ca="1">OFFSET(BloatingTable2,MATCH('Health Concern'!$B$3,'Digestion &amp; Liver'!$C$2,0)+11, 0,1,COLUMNS(BloatingTable2))</f>
        <v>Infusion: 2-4g dried leaves</v>
      </c>
    </row>
    <row r="18" spans="2:7">
      <c r="B18" t="str">
        <f ca="1">OFFSET(BloatingTable2,MATCH('Health Concern'!$B$3,'Digestion &amp; Liver'!$C$2,0)+12, 0,1,COLUMNS(BloatingTable2))</f>
        <v>Milk Thistle</v>
      </c>
      <c r="C18" t="str">
        <f ca="1">OFFSET(BloatingTable2,MATCH('Health Concern'!$B$3,'Digestion &amp; Liver'!$C$2,0)+12, 0,1,COLUMNS(BloatingTable2))</f>
        <v>Hepatoprotective</v>
      </c>
      <c r="D18" t="str">
        <f ca="1">OFFSET(BloatingTable2,MATCH('Health Concern'!$B$3,'Digestion &amp; Liver'!$C$2,0)+12, 0,1,COLUMNS(BloatingTable2))</f>
        <v>Dyspepsia</v>
      </c>
      <c r="E18" t="str">
        <f ca="1">OFFSET(BloatingTable2,MATCH('Health Concern'!$B$3,'Digestion &amp; Liver'!$C$2,0)+12, 0,1,COLUMNS(BloatingTable2))</f>
        <v>Cool, Bitter</v>
      </c>
      <c r="F18" t="str">
        <f ca="1">OFFSET(BloatingTable2,MATCH('Health Concern'!$B$3,'Digestion &amp; Liver'!$C$2,0)+12, 0,1,COLUMNS(BloatingTable2))</f>
        <v>Avoid in cases of allergy to Asteraceae family</v>
      </c>
      <c r="G18" t="str">
        <f ca="1">OFFSET(BloatingTable2,MATCH('Health Concern'!$B$3,'Digestion &amp; Liver'!$C$2,0)+12, 0,1,COLUMNS(BloatingTable2))</f>
        <v>Infusion: 3-12g dried herb</v>
      </c>
    </row>
    <row r="19" spans="2:7">
      <c r="B19" t="s">
        <v>512</v>
      </c>
      <c r="C19" t="str">
        <f ca="1">OFFSET(BloatingTable2,MATCH('Health Concern'!$B$3,'Digestion &amp; Liver'!$C$2,0)+13, 0,1,COLUMNS(BloatingTable2))</f>
        <v>Carminative</v>
      </c>
      <c r="D19" t="str">
        <f ca="1">OFFSET(BloatingTable2,MATCH('Health Concern'!$B$3,'Digestion &amp; Liver'!$C$2,0)+13, 0,1,COLUMNS(BloatingTable2))</f>
        <v>Colic (Infants), Dyspepsia</v>
      </c>
      <c r="E19" t="str">
        <f ca="1">OFFSET(BloatingTable2,MATCH('Health Concern'!$B$3,'Digestion &amp; Liver'!$C$2,0)+13, 0,1,COLUMNS(BloatingTable2))</f>
        <v>Cool, Aromatic</v>
      </c>
      <c r="F19" t="str">
        <f ca="1">OFFSET(BloatingTable2,MATCH('Health Concern'!$B$3,'Digestion &amp; Liver'!$C$2,0)+13, 0,1,COLUMNS(BloatingTable2))</f>
        <v>Use with caution in pregnancy</v>
      </c>
      <c r="G19" t="str">
        <f ca="1">OFFSET(BloatingTable2,MATCH('Health Concern'!$B$3,'Digestion &amp; Liver'!$C$2,0)+13, 0,1,COLUMNS(BloatingTable2))</f>
        <v>Infusion: 1-2g dried leaves</v>
      </c>
    </row>
    <row r="20" spans="2:7">
      <c r="B20" t="str">
        <f ca="1">OFFSET(BloatingTable2,MATCH('Health Concern'!$B$3,'Digestion &amp; Liver'!$C$2,0)+14, 0,1,COLUMNS(BloatingTable2))</f>
        <v>Sage</v>
      </c>
      <c r="C20" t="str">
        <f ca="1">OFFSET(BloatingTable2,MATCH('Health Concern'!$B$3,'Digestion &amp; Liver'!$C$2,0)+14, 0,1,COLUMNS(BloatingTable2))</f>
        <v>Astringent, Antiseptic</v>
      </c>
      <c r="D20" t="str">
        <f ca="1">OFFSET(BloatingTable2,MATCH('Health Concern'!$B$3,'Digestion &amp; Liver'!$C$2,0)+14, 0,1,COLUMNS(BloatingTable2))</f>
        <v>Dyspepsia</v>
      </c>
      <c r="E20" t="str">
        <f ca="1">OFFSET(BloatingTable2,MATCH('Health Concern'!$B$3,'Digestion &amp; Liver'!$C$2,0)+14, 0,1,COLUMNS(BloatingTable2))</f>
        <v>Warm, Aromatic</v>
      </c>
      <c r="F20" t="str">
        <f ca="1">OFFSET(BloatingTable2,MATCH('Health Concern'!$B$3,'Digestion &amp; Liver'!$C$2,0)+14, 0,1,COLUMNS(BloatingTable2))</f>
        <v>Avoid during pregnancy and lactation</v>
      </c>
      <c r="G20" t="str">
        <f ca="1">OFFSET(BloatingTable2,MATCH('Health Concern'!$B$3,'Digestion &amp; Liver'!$C$2,0)+14, 0,1,COLUMNS(BloatingTable2))</f>
        <v>Infusion: 1-4g dried leaves</v>
      </c>
    </row>
    <row r="22" spans="2:7" ht="16.149999999999999" thickBot="1"/>
    <row r="23" spans="2:7" ht="16.149999999999999" thickBot="1">
      <c r="B23" s="1" t="s">
        <v>9</v>
      </c>
      <c r="C23" s="9" t="s">
        <v>79</v>
      </c>
    </row>
    <row r="25" spans="2:7">
      <c r="B25" t="s">
        <v>120</v>
      </c>
      <c r="C25" t="s">
        <v>80</v>
      </c>
      <c r="D25" t="s">
        <v>119</v>
      </c>
      <c r="E25" t="s">
        <v>84</v>
      </c>
      <c r="F25" t="s">
        <v>177</v>
      </c>
      <c r="G25" s="12" t="s">
        <v>126</v>
      </c>
    </row>
    <row r="26" spans="2:7">
      <c r="B26" t="s">
        <v>121</v>
      </c>
      <c r="C26" t="s">
        <v>178</v>
      </c>
      <c r="D26" t="s">
        <v>179</v>
      </c>
      <c r="E26" t="s">
        <v>85</v>
      </c>
      <c r="F26" t="s">
        <v>180</v>
      </c>
      <c r="G26" t="s">
        <v>127</v>
      </c>
    </row>
    <row r="27" spans="2:7">
      <c r="B27" t="s">
        <v>122</v>
      </c>
      <c r="C27" t="s">
        <v>89</v>
      </c>
      <c r="D27" s="11" t="s">
        <v>181</v>
      </c>
      <c r="E27" t="s">
        <v>88</v>
      </c>
      <c r="F27" t="s">
        <v>177</v>
      </c>
      <c r="G27" t="s">
        <v>273</v>
      </c>
    </row>
    <row r="28" spans="2:7">
      <c r="B28" t="s">
        <v>123</v>
      </c>
      <c r="C28" t="s">
        <v>81</v>
      </c>
      <c r="D28" t="s">
        <v>119</v>
      </c>
      <c r="E28" t="s">
        <v>86</v>
      </c>
      <c r="F28" t="s">
        <v>180</v>
      </c>
      <c r="G28" t="s">
        <v>128</v>
      </c>
    </row>
    <row r="29" spans="2:7">
      <c r="B29" t="s">
        <v>124</v>
      </c>
      <c r="C29" t="s">
        <v>82</v>
      </c>
      <c r="D29" t="s">
        <v>182</v>
      </c>
      <c r="E29" t="s">
        <v>87</v>
      </c>
      <c r="F29" t="s">
        <v>183</v>
      </c>
      <c r="G29" t="s">
        <v>129</v>
      </c>
    </row>
    <row r="30" spans="2:7">
      <c r="B30" t="s">
        <v>125</v>
      </c>
      <c r="C30" t="s">
        <v>83</v>
      </c>
      <c r="D30" t="s">
        <v>119</v>
      </c>
      <c r="E30" t="s">
        <v>86</v>
      </c>
      <c r="F30" t="s">
        <v>180</v>
      </c>
      <c r="G30" t="s">
        <v>130</v>
      </c>
    </row>
    <row r="32" spans="2:7" ht="16.149999999999999" thickBot="1"/>
    <row r="33" spans="2:11" ht="16.149999999999999" thickBot="1">
      <c r="B33" s="1" t="s">
        <v>9</v>
      </c>
      <c r="C33" s="10" t="s">
        <v>90</v>
      </c>
    </row>
    <row r="36" spans="2:11" ht="47.25">
      <c r="B36" t="s">
        <v>184</v>
      </c>
      <c r="C36" t="s">
        <v>101</v>
      </c>
      <c r="D36" t="s">
        <v>6</v>
      </c>
      <c r="E36" t="s">
        <v>114</v>
      </c>
      <c r="F36" s="11" t="s">
        <v>185</v>
      </c>
      <c r="G36" t="s">
        <v>131</v>
      </c>
    </row>
    <row r="37" spans="2:11">
      <c r="B37" t="s">
        <v>91</v>
      </c>
      <c r="C37" t="s">
        <v>102</v>
      </c>
      <c r="D37" t="s">
        <v>105</v>
      </c>
      <c r="E37" t="s">
        <v>114</v>
      </c>
      <c r="F37" t="s">
        <v>180</v>
      </c>
      <c r="G37" t="s">
        <v>132</v>
      </c>
      <c r="K37" t="s">
        <v>176</v>
      </c>
    </row>
    <row r="38" spans="2:11">
      <c r="B38" t="s">
        <v>92</v>
      </c>
      <c r="C38" t="s">
        <v>102</v>
      </c>
      <c r="D38" t="s">
        <v>105</v>
      </c>
      <c r="E38" t="s">
        <v>116</v>
      </c>
      <c r="F38" t="s">
        <v>180</v>
      </c>
      <c r="G38" t="s">
        <v>133</v>
      </c>
    </row>
    <row r="39" spans="2:11">
      <c r="B39" t="s">
        <v>93</v>
      </c>
      <c r="C39" t="s">
        <v>102</v>
      </c>
      <c r="D39" t="s">
        <v>186</v>
      </c>
      <c r="E39" t="s">
        <v>115</v>
      </c>
      <c r="F39" t="s">
        <v>187</v>
      </c>
      <c r="G39" t="s">
        <v>134</v>
      </c>
    </row>
    <row r="40" spans="2:11" ht="31.5">
      <c r="B40" t="s">
        <v>94</v>
      </c>
      <c r="C40" t="s">
        <v>103</v>
      </c>
      <c r="D40" t="s">
        <v>106</v>
      </c>
      <c r="E40" t="s">
        <v>116</v>
      </c>
      <c r="F40" s="11" t="s">
        <v>188</v>
      </c>
      <c r="G40" t="s">
        <v>135</v>
      </c>
    </row>
    <row r="41" spans="2:11">
      <c r="B41" t="s">
        <v>95</v>
      </c>
      <c r="C41" t="s">
        <v>103</v>
      </c>
      <c r="D41" t="s">
        <v>106</v>
      </c>
      <c r="E41" t="s">
        <v>114</v>
      </c>
      <c r="F41" s="11" t="s">
        <v>189</v>
      </c>
      <c r="G41" t="s">
        <v>136</v>
      </c>
    </row>
    <row r="42" spans="2:11">
      <c r="B42" t="s">
        <v>96</v>
      </c>
      <c r="C42" t="s">
        <v>103</v>
      </c>
      <c r="D42" t="s">
        <v>191</v>
      </c>
      <c r="E42" t="s">
        <v>117</v>
      </c>
      <c r="F42" t="s">
        <v>190</v>
      </c>
      <c r="G42" t="s">
        <v>137</v>
      </c>
    </row>
    <row r="43" spans="2:11" ht="31.5">
      <c r="B43" t="s">
        <v>97</v>
      </c>
      <c r="C43" s="11" t="s">
        <v>194</v>
      </c>
      <c r="D43" t="s">
        <v>193</v>
      </c>
      <c r="E43" t="s">
        <v>118</v>
      </c>
      <c r="F43" t="s">
        <v>192</v>
      </c>
      <c r="G43" t="s">
        <v>138</v>
      </c>
    </row>
    <row r="44" spans="2:11">
      <c r="B44" t="s">
        <v>98</v>
      </c>
      <c r="C44" t="s">
        <v>195</v>
      </c>
      <c r="D44" t="s">
        <v>196</v>
      </c>
      <c r="E44" t="s">
        <v>115</v>
      </c>
      <c r="F44" t="s">
        <v>180</v>
      </c>
      <c r="G44" t="s">
        <v>139</v>
      </c>
    </row>
    <row r="45" spans="2:11">
      <c r="B45" t="s">
        <v>99</v>
      </c>
      <c r="C45" t="s">
        <v>198</v>
      </c>
      <c r="D45" t="s">
        <v>199</v>
      </c>
      <c r="E45" t="s">
        <v>114</v>
      </c>
      <c r="F45" t="s">
        <v>197</v>
      </c>
      <c r="G45" t="s">
        <v>127</v>
      </c>
    </row>
    <row r="46" spans="2:11">
      <c r="B46" t="s">
        <v>100</v>
      </c>
      <c r="C46" t="s">
        <v>110</v>
      </c>
      <c r="D46" t="s">
        <v>6</v>
      </c>
      <c r="E46" t="s">
        <v>114</v>
      </c>
      <c r="F46" t="s">
        <v>200</v>
      </c>
      <c r="G46" t="s">
        <v>154</v>
      </c>
    </row>
    <row r="47" spans="2:11">
      <c r="B47" t="s">
        <v>108</v>
      </c>
      <c r="C47" t="s">
        <v>104</v>
      </c>
      <c r="D47" t="s">
        <v>107</v>
      </c>
      <c r="E47" t="s">
        <v>112</v>
      </c>
    </row>
    <row r="48" spans="2:11">
      <c r="B48" t="s">
        <v>109</v>
      </c>
      <c r="C48" t="s">
        <v>111</v>
      </c>
      <c r="D48" t="s">
        <v>105</v>
      </c>
      <c r="E48" t="s">
        <v>113</v>
      </c>
      <c r="F48" t="s">
        <v>180</v>
      </c>
      <c r="G48" t="s">
        <v>201</v>
      </c>
    </row>
    <row r="50" spans="2:7" ht="16.149999999999999" thickBot="1"/>
    <row r="51" spans="2:7" ht="16.149999999999999" thickBot="1">
      <c r="B51" s="1" t="s">
        <v>9</v>
      </c>
      <c r="C51" s="13" t="s">
        <v>140</v>
      </c>
    </row>
    <row r="53" spans="2:7">
      <c r="B53" t="s">
        <v>141</v>
      </c>
      <c r="C53" t="s">
        <v>143</v>
      </c>
      <c r="D53" t="s">
        <v>227</v>
      </c>
      <c r="E53" t="s">
        <v>144</v>
      </c>
      <c r="F53" t="s">
        <v>226</v>
      </c>
      <c r="G53" t="s">
        <v>255</v>
      </c>
    </row>
    <row r="54" spans="2:7">
      <c r="B54" t="s">
        <v>142</v>
      </c>
      <c r="C54" t="s">
        <v>143</v>
      </c>
      <c r="D54" t="s">
        <v>229</v>
      </c>
      <c r="E54" t="s">
        <v>144</v>
      </c>
      <c r="F54" s="11" t="s">
        <v>228</v>
      </c>
      <c r="G54" t="s">
        <v>256</v>
      </c>
    </row>
    <row r="55" spans="2:7">
      <c r="B55" t="s">
        <v>202</v>
      </c>
      <c r="C55" t="s">
        <v>145</v>
      </c>
      <c r="D55" t="s">
        <v>231</v>
      </c>
      <c r="E55" t="s">
        <v>146</v>
      </c>
      <c r="F55" t="s">
        <v>180</v>
      </c>
      <c r="G55" t="s">
        <v>257</v>
      </c>
    </row>
    <row r="56" spans="2:7">
      <c r="B56" t="s">
        <v>203</v>
      </c>
      <c r="C56" t="s">
        <v>147</v>
      </c>
      <c r="D56" t="s">
        <v>63</v>
      </c>
      <c r="E56" t="s">
        <v>148</v>
      </c>
      <c r="F56" t="s">
        <v>230</v>
      </c>
      <c r="G56" t="s">
        <v>258</v>
      </c>
    </row>
    <row r="57" spans="2:7">
      <c r="B57" t="s">
        <v>204</v>
      </c>
      <c r="C57" t="s">
        <v>81</v>
      </c>
      <c r="D57" s="11" t="s">
        <v>232</v>
      </c>
      <c r="E57" t="s">
        <v>148</v>
      </c>
      <c r="F57" s="11" t="s">
        <v>177</v>
      </c>
      <c r="G57" t="s">
        <v>234</v>
      </c>
    </row>
    <row r="58" spans="2:7" ht="31.5">
      <c r="B58" t="s">
        <v>205</v>
      </c>
      <c r="C58" t="s">
        <v>235</v>
      </c>
      <c r="D58" t="s">
        <v>236</v>
      </c>
      <c r="E58" t="s">
        <v>148</v>
      </c>
      <c r="F58" s="11" t="s">
        <v>237</v>
      </c>
      <c r="G58" t="s">
        <v>233</v>
      </c>
    </row>
    <row r="59" spans="2:7">
      <c r="B59" t="s">
        <v>206</v>
      </c>
      <c r="C59" t="s">
        <v>149</v>
      </c>
      <c r="D59" t="s">
        <v>241</v>
      </c>
      <c r="E59" t="s">
        <v>144</v>
      </c>
      <c r="F59" t="s">
        <v>240</v>
      </c>
      <c r="G59" t="s">
        <v>257</v>
      </c>
    </row>
    <row r="60" spans="2:7">
      <c r="B60" t="s">
        <v>207</v>
      </c>
      <c r="C60" t="s">
        <v>242</v>
      </c>
      <c r="D60" t="s">
        <v>63</v>
      </c>
      <c r="E60" t="s">
        <v>144</v>
      </c>
      <c r="F60" t="s">
        <v>228</v>
      </c>
      <c r="G60" t="s">
        <v>257</v>
      </c>
    </row>
    <row r="61" spans="2:7">
      <c r="B61" t="s">
        <v>208</v>
      </c>
      <c r="C61" t="s">
        <v>143</v>
      </c>
      <c r="D61" t="s">
        <v>63</v>
      </c>
      <c r="E61" t="s">
        <v>144</v>
      </c>
      <c r="F61" t="s">
        <v>240</v>
      </c>
      <c r="G61" t="s">
        <v>259</v>
      </c>
    </row>
    <row r="62" spans="2:7">
      <c r="B62" t="s">
        <v>209</v>
      </c>
      <c r="C62" t="s">
        <v>244</v>
      </c>
      <c r="D62" t="s">
        <v>243</v>
      </c>
      <c r="E62" t="s">
        <v>144</v>
      </c>
      <c r="F62" t="s">
        <v>228</v>
      </c>
      <c r="G62" t="s">
        <v>257</v>
      </c>
    </row>
    <row r="63" spans="2:7">
      <c r="B63" t="s">
        <v>210</v>
      </c>
      <c r="C63" t="s">
        <v>150</v>
      </c>
      <c r="D63" t="s">
        <v>245</v>
      </c>
      <c r="E63" t="s">
        <v>116</v>
      </c>
      <c r="F63" t="s">
        <v>246</v>
      </c>
      <c r="G63" t="s">
        <v>260</v>
      </c>
    </row>
    <row r="64" spans="2:7">
      <c r="B64" t="s">
        <v>211</v>
      </c>
      <c r="C64" t="s">
        <v>247</v>
      </c>
      <c r="D64" t="s">
        <v>63</v>
      </c>
      <c r="E64" t="s">
        <v>116</v>
      </c>
      <c r="F64" t="s">
        <v>250</v>
      </c>
      <c r="G64" t="s">
        <v>153</v>
      </c>
    </row>
    <row r="65" spans="2:7">
      <c r="B65" t="s">
        <v>212</v>
      </c>
      <c r="C65" t="s">
        <v>249</v>
      </c>
      <c r="D65" t="s">
        <v>63</v>
      </c>
      <c r="E65" t="s">
        <v>116</v>
      </c>
      <c r="F65" t="s">
        <v>248</v>
      </c>
      <c r="G65" t="s">
        <v>261</v>
      </c>
    </row>
    <row r="66" spans="2:7" ht="31.5">
      <c r="B66" t="s">
        <v>213</v>
      </c>
      <c r="C66" t="s">
        <v>253</v>
      </c>
      <c r="D66" t="s">
        <v>252</v>
      </c>
      <c r="E66" t="s">
        <v>144</v>
      </c>
      <c r="F66" s="11" t="s">
        <v>251</v>
      </c>
      <c r="G66" t="s">
        <v>262</v>
      </c>
    </row>
    <row r="67" spans="2:7">
      <c r="B67" t="s">
        <v>214</v>
      </c>
      <c r="C67" t="s">
        <v>149</v>
      </c>
      <c r="D67" t="s">
        <v>63</v>
      </c>
      <c r="E67" t="s">
        <v>152</v>
      </c>
      <c r="F67" t="s">
        <v>180</v>
      </c>
      <c r="G67" t="s">
        <v>263</v>
      </c>
    </row>
    <row r="68" spans="2:7">
      <c r="B68" t="s">
        <v>215</v>
      </c>
      <c r="C68" t="s">
        <v>150</v>
      </c>
      <c r="D68" t="s">
        <v>254</v>
      </c>
      <c r="E68" t="s">
        <v>151</v>
      </c>
      <c r="F68" t="s">
        <v>240</v>
      </c>
      <c r="G68" t="s">
        <v>264</v>
      </c>
    </row>
    <row r="69" spans="2:7" ht="16.149999999999999" thickBot="1"/>
    <row r="70" spans="2:7" ht="16.149999999999999" thickBot="1">
      <c r="B70" s="1" t="s">
        <v>9</v>
      </c>
      <c r="C70" s="10" t="s">
        <v>155</v>
      </c>
    </row>
    <row r="72" spans="2:7">
      <c r="B72" t="s">
        <v>225</v>
      </c>
      <c r="C72" t="s">
        <v>157</v>
      </c>
      <c r="D72" t="s">
        <v>165</v>
      </c>
      <c r="E72" t="s">
        <v>164</v>
      </c>
      <c r="G72" t="s">
        <v>265</v>
      </c>
    </row>
    <row r="73" spans="2:7">
      <c r="B73" t="s">
        <v>216</v>
      </c>
      <c r="C73" t="s">
        <v>158</v>
      </c>
      <c r="D73" t="s">
        <v>166</v>
      </c>
      <c r="E73" t="s">
        <v>148</v>
      </c>
      <c r="F73" t="s">
        <v>177</v>
      </c>
      <c r="G73" t="s">
        <v>126</v>
      </c>
    </row>
    <row r="74" spans="2:7">
      <c r="B74" t="s">
        <v>217</v>
      </c>
      <c r="C74" t="s">
        <v>159</v>
      </c>
      <c r="D74" t="s">
        <v>167</v>
      </c>
      <c r="E74" t="s">
        <v>113</v>
      </c>
      <c r="F74" t="s">
        <v>177</v>
      </c>
      <c r="G74" t="s">
        <v>266</v>
      </c>
    </row>
    <row r="75" spans="2:7">
      <c r="B75" t="s">
        <v>218</v>
      </c>
      <c r="C75" t="s">
        <v>160</v>
      </c>
      <c r="D75" t="s">
        <v>168</v>
      </c>
      <c r="E75" t="s">
        <v>146</v>
      </c>
      <c r="F75" t="s">
        <v>180</v>
      </c>
      <c r="G75" t="s">
        <v>267</v>
      </c>
    </row>
    <row r="76" spans="2:7">
      <c r="B76" t="s">
        <v>219</v>
      </c>
      <c r="C76" t="s">
        <v>157</v>
      </c>
      <c r="D76" t="s">
        <v>169</v>
      </c>
      <c r="E76" t="s">
        <v>148</v>
      </c>
      <c r="F76" t="s">
        <v>230</v>
      </c>
      <c r="G76" t="s">
        <v>268</v>
      </c>
    </row>
    <row r="77" spans="2:7">
      <c r="B77" t="s">
        <v>220</v>
      </c>
      <c r="C77" t="s">
        <v>156</v>
      </c>
      <c r="D77" t="s">
        <v>170</v>
      </c>
      <c r="E77" t="s">
        <v>113</v>
      </c>
      <c r="F77" t="s">
        <v>180</v>
      </c>
      <c r="G77" t="s">
        <v>175</v>
      </c>
    </row>
    <row r="78" spans="2:7">
      <c r="B78" t="s">
        <v>221</v>
      </c>
      <c r="C78" t="s">
        <v>161</v>
      </c>
      <c r="D78" t="s">
        <v>174</v>
      </c>
      <c r="E78" t="s">
        <v>148</v>
      </c>
      <c r="F78" t="s">
        <v>177</v>
      </c>
      <c r="G78" t="s">
        <v>269</v>
      </c>
    </row>
    <row r="79" spans="2:7">
      <c r="B79" t="s">
        <v>222</v>
      </c>
      <c r="C79" t="s">
        <v>162</v>
      </c>
      <c r="D79" t="s">
        <v>171</v>
      </c>
      <c r="E79" t="s">
        <v>148</v>
      </c>
      <c r="F79" t="s">
        <v>238</v>
      </c>
      <c r="G79" t="s">
        <v>270</v>
      </c>
    </row>
    <row r="80" spans="2:7">
      <c r="B80" t="s">
        <v>223</v>
      </c>
      <c r="C80" t="s">
        <v>163</v>
      </c>
      <c r="D80" t="s">
        <v>172</v>
      </c>
      <c r="E80" t="s">
        <v>148</v>
      </c>
      <c r="F80" t="s">
        <v>239</v>
      </c>
      <c r="G80" t="s">
        <v>271</v>
      </c>
    </row>
    <row r="81" spans="2:7">
      <c r="B81" t="s">
        <v>224</v>
      </c>
      <c r="C81" t="s">
        <v>156</v>
      </c>
      <c r="D81" t="s">
        <v>173</v>
      </c>
      <c r="E81" t="s">
        <v>113</v>
      </c>
      <c r="F81" t="s">
        <v>187</v>
      </c>
      <c r="G81" t="s">
        <v>272</v>
      </c>
    </row>
  </sheetData>
  <autoFilter ref="B4:G4" xr:uid="{D202CE57-3E68-1540-8504-6BF6C1BDE8C6}"/>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8FE2152-A719-DC4C-A49E-C58A115633CD}">
          <x14:formula1>
            <xm:f>'Health Concern'!$B$3:$B$10</xm:f>
          </x14:formula1>
          <xm:sqref>C2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CC5E0-881F-0443-9835-2662024FDB7E}">
  <sheetPr>
    <tabColor rgb="FF92D050"/>
  </sheetPr>
  <dimension ref="A1:H38"/>
  <sheetViews>
    <sheetView topLeftCell="A26" workbookViewId="0">
      <selection activeCell="B28" sqref="B28:B38"/>
    </sheetView>
  </sheetViews>
  <sheetFormatPr defaultColWidth="11" defaultRowHeight="15.75"/>
  <cols>
    <col min="1" max="1" width="32.8125" customWidth="1"/>
    <col min="2" max="2" width="50.1875" customWidth="1"/>
    <col min="3" max="3" width="61.1875" customWidth="1"/>
    <col min="4" max="4" width="121.1875" customWidth="1"/>
    <col min="5" max="5" width="58.8125" customWidth="1"/>
    <col min="6" max="6" width="75.8125" customWidth="1"/>
    <col min="7" max="7" width="27" customWidth="1"/>
  </cols>
  <sheetData>
    <row r="1" spans="1:8">
      <c r="B1" s="13" t="s">
        <v>10</v>
      </c>
      <c r="C1" s="13" t="s">
        <v>11</v>
      </c>
      <c r="D1" s="13" t="s">
        <v>12</v>
      </c>
      <c r="E1" s="13" t="s">
        <v>13</v>
      </c>
      <c r="F1" s="13" t="s">
        <v>14</v>
      </c>
      <c r="G1" s="13" t="s">
        <v>15</v>
      </c>
      <c r="H1" s="13" t="s">
        <v>420</v>
      </c>
    </row>
    <row r="2" spans="1:8">
      <c r="A2" s="46" t="s">
        <v>415</v>
      </c>
      <c r="B2" s="38"/>
      <c r="C2" s="38"/>
      <c r="D2" s="39"/>
      <c r="E2" s="38"/>
      <c r="F2" s="38"/>
      <c r="G2" s="47"/>
      <c r="H2" s="38"/>
    </row>
    <row r="3" spans="1:8">
      <c r="A3" s="38"/>
      <c r="B3" s="38" t="s">
        <v>425</v>
      </c>
      <c r="C3" s="38" t="s">
        <v>419</v>
      </c>
      <c r="D3" s="38" t="s">
        <v>966</v>
      </c>
      <c r="E3" s="35" t="s">
        <v>630</v>
      </c>
      <c r="F3" s="38" t="s">
        <v>180</v>
      </c>
      <c r="G3" s="47" t="s">
        <v>422</v>
      </c>
      <c r="H3" s="43">
        <v>4.3055555555555562E-2</v>
      </c>
    </row>
    <row r="4" spans="1:8">
      <c r="A4" s="38"/>
      <c r="B4" s="39" t="s">
        <v>426</v>
      </c>
      <c r="C4" s="35" t="s">
        <v>424</v>
      </c>
      <c r="D4" s="38" t="s">
        <v>967</v>
      </c>
      <c r="E4" s="38" t="s">
        <v>631</v>
      </c>
      <c r="F4" s="35" t="s">
        <v>418</v>
      </c>
      <c r="G4" s="38" t="s">
        <v>423</v>
      </c>
      <c r="H4" s="43">
        <v>4.3055555555555562E-2</v>
      </c>
    </row>
    <row r="5" spans="1:8">
      <c r="A5" s="38"/>
      <c r="B5" s="39" t="s">
        <v>427</v>
      </c>
      <c r="C5" s="38" t="s">
        <v>429</v>
      </c>
      <c r="D5" s="39" t="s">
        <v>968</v>
      </c>
      <c r="E5" s="38" t="s">
        <v>632</v>
      </c>
      <c r="F5" s="35" t="s">
        <v>430</v>
      </c>
      <c r="G5" s="38" t="s">
        <v>428</v>
      </c>
      <c r="H5" s="43">
        <v>4.3055555555555562E-2</v>
      </c>
    </row>
    <row r="6" spans="1:8">
      <c r="A6" s="38"/>
      <c r="B6" s="39" t="s">
        <v>431</v>
      </c>
      <c r="C6" s="35" t="s">
        <v>417</v>
      </c>
      <c r="D6" s="38" t="s">
        <v>969</v>
      </c>
      <c r="E6" s="38" t="s">
        <v>633</v>
      </c>
      <c r="F6" s="35" t="s">
        <v>180</v>
      </c>
      <c r="G6" s="38" t="s">
        <v>432</v>
      </c>
      <c r="H6" s="43">
        <v>4.3055555555555562E-2</v>
      </c>
    </row>
    <row r="7" spans="1:8">
      <c r="A7" s="38"/>
      <c r="B7" s="39" t="s">
        <v>433</v>
      </c>
      <c r="C7" s="38" t="s">
        <v>435</v>
      </c>
      <c r="D7" s="39" t="s">
        <v>970</v>
      </c>
      <c r="E7" s="38" t="s">
        <v>635</v>
      </c>
      <c r="F7" s="35" t="s">
        <v>180</v>
      </c>
      <c r="G7" s="38" t="s">
        <v>434</v>
      </c>
      <c r="H7" s="43">
        <v>4.3055555555555562E-2</v>
      </c>
    </row>
    <row r="8" spans="1:8">
      <c r="A8" s="38"/>
      <c r="B8" s="39" t="s">
        <v>436</v>
      </c>
      <c r="C8" s="35" t="s">
        <v>438</v>
      </c>
      <c r="D8" s="39" t="s">
        <v>971</v>
      </c>
      <c r="E8" s="38" t="s">
        <v>634</v>
      </c>
      <c r="F8" s="38" t="s">
        <v>439</v>
      </c>
      <c r="G8" s="38" t="s">
        <v>437</v>
      </c>
      <c r="H8" s="43">
        <v>4.3055555555555562E-2</v>
      </c>
    </row>
    <row r="9" spans="1:8">
      <c r="A9" s="38"/>
      <c r="B9" s="38"/>
      <c r="C9" s="38"/>
      <c r="D9" s="38"/>
      <c r="E9" s="38"/>
      <c r="F9" s="38"/>
      <c r="G9" s="38"/>
      <c r="H9" s="38"/>
    </row>
    <row r="10" spans="1:8">
      <c r="A10" s="46" t="s">
        <v>440</v>
      </c>
      <c r="B10" s="38"/>
      <c r="C10" s="38"/>
      <c r="D10" s="38"/>
      <c r="E10" s="38"/>
      <c r="F10" s="38"/>
      <c r="G10" s="38"/>
      <c r="H10" s="38"/>
    </row>
    <row r="11" spans="1:8">
      <c r="A11" s="38"/>
      <c r="B11" s="39" t="s">
        <v>462</v>
      </c>
      <c r="C11" s="38" t="s">
        <v>464</v>
      </c>
      <c r="D11" s="39" t="s">
        <v>972</v>
      </c>
      <c r="E11" s="35" t="s">
        <v>446</v>
      </c>
      <c r="F11" s="38" t="s">
        <v>180</v>
      </c>
      <c r="G11" s="38" t="s">
        <v>463</v>
      </c>
      <c r="H11" s="43" t="s">
        <v>362</v>
      </c>
    </row>
    <row r="12" spans="1:8">
      <c r="A12" s="38"/>
      <c r="B12" s="39" t="s">
        <v>322</v>
      </c>
      <c r="C12" s="41" t="s">
        <v>467</v>
      </c>
      <c r="D12" s="39" t="s">
        <v>973</v>
      </c>
      <c r="E12" s="38" t="s">
        <v>447</v>
      </c>
      <c r="F12" s="38" t="s">
        <v>180</v>
      </c>
      <c r="G12" s="38" t="s">
        <v>465</v>
      </c>
      <c r="H12" s="43" t="s">
        <v>466</v>
      </c>
    </row>
    <row r="13" spans="1:8">
      <c r="A13" s="38"/>
      <c r="B13" s="39" t="s">
        <v>458</v>
      </c>
      <c r="C13" s="38" t="s">
        <v>459</v>
      </c>
      <c r="D13" s="39" t="s">
        <v>974</v>
      </c>
      <c r="E13" s="38" t="s">
        <v>636</v>
      </c>
      <c r="F13" s="47" t="s">
        <v>460</v>
      </c>
      <c r="G13" s="38" t="s">
        <v>461</v>
      </c>
      <c r="H13" s="43">
        <v>4.3055555555555562E-2</v>
      </c>
    </row>
    <row r="14" spans="1:8">
      <c r="A14" s="38"/>
      <c r="B14" s="39" t="s">
        <v>468</v>
      </c>
      <c r="C14" s="41" t="s">
        <v>470</v>
      </c>
      <c r="D14" s="39" t="s">
        <v>975</v>
      </c>
      <c r="E14" s="35" t="s">
        <v>448</v>
      </c>
      <c r="F14" s="38" t="s">
        <v>471</v>
      </c>
      <c r="G14" s="47" t="s">
        <v>996</v>
      </c>
      <c r="H14" s="38">
        <v>1.1000000000000001</v>
      </c>
    </row>
    <row r="15" spans="1:8">
      <c r="A15" s="38"/>
      <c r="B15" s="39" t="s">
        <v>278</v>
      </c>
      <c r="C15" s="38" t="s">
        <v>474</v>
      </c>
      <c r="D15" s="39" t="s">
        <v>976</v>
      </c>
      <c r="E15" s="38" t="s">
        <v>449</v>
      </c>
      <c r="F15" s="39" t="s">
        <v>180</v>
      </c>
      <c r="G15" s="38" t="s">
        <v>473</v>
      </c>
      <c r="H15" s="47" t="s">
        <v>472</v>
      </c>
    </row>
    <row r="16" spans="1:8">
      <c r="A16" s="38"/>
      <c r="B16" s="39" t="s">
        <v>475</v>
      </c>
      <c r="C16" s="41" t="s">
        <v>478</v>
      </c>
      <c r="D16" s="39" t="s">
        <v>977</v>
      </c>
      <c r="E16" s="35" t="s">
        <v>450</v>
      </c>
      <c r="F16" s="41" t="s">
        <v>477</v>
      </c>
      <c r="G16" s="38" t="s">
        <v>476</v>
      </c>
      <c r="H16" s="38">
        <v>1.2</v>
      </c>
    </row>
    <row r="17" spans="1:8">
      <c r="A17" s="38"/>
      <c r="B17" s="39" t="s">
        <v>479</v>
      </c>
      <c r="C17" s="38" t="s">
        <v>469</v>
      </c>
      <c r="D17" s="39" t="s">
        <v>978</v>
      </c>
      <c r="E17" s="35" t="s">
        <v>451</v>
      </c>
      <c r="F17" s="47" t="s">
        <v>248</v>
      </c>
      <c r="G17" s="47" t="s">
        <v>465</v>
      </c>
      <c r="H17" s="38">
        <v>1.2</v>
      </c>
    </row>
    <row r="18" spans="1:8">
      <c r="A18" s="38"/>
      <c r="B18" s="39" t="s">
        <v>324</v>
      </c>
      <c r="C18" s="41" t="s">
        <v>481</v>
      </c>
      <c r="D18" s="39" t="s">
        <v>979</v>
      </c>
      <c r="E18" s="35" t="s">
        <v>454</v>
      </c>
      <c r="F18" s="38" t="s">
        <v>180</v>
      </c>
      <c r="G18" s="44" t="s">
        <v>480</v>
      </c>
      <c r="H18" s="43">
        <v>0.12638888888888888</v>
      </c>
    </row>
    <row r="19" spans="1:8">
      <c r="A19" s="38"/>
      <c r="B19" s="38"/>
      <c r="C19" s="38"/>
      <c r="D19" s="38"/>
      <c r="E19" s="38"/>
      <c r="F19" s="38"/>
      <c r="G19" s="38"/>
      <c r="H19" s="38"/>
    </row>
    <row r="20" spans="1:8">
      <c r="A20" s="46" t="s">
        <v>442</v>
      </c>
      <c r="B20" s="38"/>
      <c r="C20" s="38"/>
      <c r="D20" s="38"/>
      <c r="E20" s="38"/>
      <c r="F20" s="38"/>
      <c r="G20" s="38"/>
      <c r="H20" s="38"/>
    </row>
    <row r="21" spans="1:8">
      <c r="A21" s="38"/>
      <c r="B21" s="39" t="s">
        <v>482</v>
      </c>
      <c r="C21" s="38" t="s">
        <v>484</v>
      </c>
      <c r="D21" s="39" t="s">
        <v>980</v>
      </c>
      <c r="E21" s="35" t="s">
        <v>452</v>
      </c>
      <c r="F21" s="47" t="s">
        <v>177</v>
      </c>
      <c r="G21" s="47" t="s">
        <v>483</v>
      </c>
      <c r="H21" s="38">
        <v>1.2</v>
      </c>
    </row>
    <row r="22" spans="1:8">
      <c r="A22" s="38"/>
      <c r="B22" s="39" t="s">
        <v>458</v>
      </c>
      <c r="C22" s="38" t="s">
        <v>459</v>
      </c>
      <c r="D22" s="39" t="s">
        <v>981</v>
      </c>
      <c r="E22" s="35" t="s">
        <v>453</v>
      </c>
      <c r="F22" s="38" t="s">
        <v>460</v>
      </c>
      <c r="G22" s="44" t="s">
        <v>485</v>
      </c>
      <c r="H22" s="43">
        <v>4.3055555555555562E-2</v>
      </c>
    </row>
    <row r="23" spans="1:8">
      <c r="A23" s="38"/>
      <c r="B23" s="39" t="s">
        <v>436</v>
      </c>
      <c r="C23" s="38" t="s">
        <v>486</v>
      </c>
      <c r="D23" s="39" t="s">
        <v>982</v>
      </c>
      <c r="E23" s="35" t="s">
        <v>445</v>
      </c>
      <c r="F23" s="38" t="s">
        <v>439</v>
      </c>
      <c r="G23" s="38" t="s">
        <v>437</v>
      </c>
      <c r="H23" s="38">
        <v>1.2</v>
      </c>
    </row>
    <row r="24" spans="1:8">
      <c r="A24" s="38"/>
      <c r="B24" s="39" t="s">
        <v>441</v>
      </c>
      <c r="C24" s="38" t="s">
        <v>469</v>
      </c>
      <c r="D24" s="39" t="s">
        <v>983</v>
      </c>
      <c r="E24" s="38" t="s">
        <v>451</v>
      </c>
      <c r="F24" s="38" t="s">
        <v>248</v>
      </c>
      <c r="G24" s="38" t="s">
        <v>465</v>
      </c>
      <c r="H24" s="38">
        <v>1.2</v>
      </c>
    </row>
    <row r="25" spans="1:8">
      <c r="A25" s="38"/>
      <c r="B25" s="39" t="s">
        <v>443</v>
      </c>
      <c r="C25" s="38" t="s">
        <v>481</v>
      </c>
      <c r="D25" s="39" t="s">
        <v>984</v>
      </c>
      <c r="E25" s="38" t="s">
        <v>454</v>
      </c>
      <c r="F25" s="39" t="s">
        <v>180</v>
      </c>
      <c r="G25" s="38" t="s">
        <v>480</v>
      </c>
      <c r="H25" s="38">
        <v>3.2</v>
      </c>
    </row>
    <row r="26" spans="1:8">
      <c r="A26" s="38"/>
      <c r="B26" s="38"/>
      <c r="C26" s="38"/>
      <c r="D26" s="38"/>
      <c r="E26" s="38"/>
      <c r="F26" s="38"/>
      <c r="G26" s="38"/>
      <c r="H26" s="38"/>
    </row>
    <row r="27" spans="1:8">
      <c r="A27" s="45" t="s">
        <v>444</v>
      </c>
      <c r="B27" s="38"/>
      <c r="C27" s="38"/>
      <c r="D27" s="38"/>
      <c r="E27" s="38"/>
      <c r="F27" s="38"/>
      <c r="G27" s="38"/>
      <c r="H27" s="38"/>
    </row>
    <row r="28" spans="1:8">
      <c r="A28" s="38"/>
      <c r="B28" s="39" t="s">
        <v>487</v>
      </c>
      <c r="C28" s="38" t="s">
        <v>488</v>
      </c>
      <c r="D28" s="39" t="s">
        <v>985</v>
      </c>
      <c r="E28" s="35" t="s">
        <v>455</v>
      </c>
      <c r="F28" s="47" t="s">
        <v>489</v>
      </c>
      <c r="G28" s="38" t="s">
        <v>490</v>
      </c>
      <c r="H28" s="38">
        <v>1.2</v>
      </c>
    </row>
    <row r="29" spans="1:8">
      <c r="A29" s="38"/>
      <c r="B29" s="39" t="s">
        <v>491</v>
      </c>
      <c r="C29" s="38" t="s">
        <v>492</v>
      </c>
      <c r="D29" s="39" t="s">
        <v>986</v>
      </c>
      <c r="E29" s="38" t="s">
        <v>456</v>
      </c>
      <c r="F29" s="39" t="s">
        <v>493</v>
      </c>
      <c r="G29" s="38" t="s">
        <v>465</v>
      </c>
      <c r="H29" s="38">
        <v>1.2</v>
      </c>
    </row>
    <row r="30" spans="1:8">
      <c r="A30" s="38"/>
      <c r="B30" s="39" t="s">
        <v>494</v>
      </c>
      <c r="C30" s="38" t="s">
        <v>495</v>
      </c>
      <c r="D30" s="39" t="s">
        <v>987</v>
      </c>
      <c r="E30" s="38" t="s">
        <v>148</v>
      </c>
      <c r="F30" s="39" t="s">
        <v>180</v>
      </c>
      <c r="G30" s="38" t="s">
        <v>437</v>
      </c>
      <c r="H30" s="38">
        <v>1.2</v>
      </c>
    </row>
    <row r="31" spans="1:8">
      <c r="A31" s="38"/>
      <c r="B31" s="39" t="s">
        <v>500</v>
      </c>
      <c r="C31" s="38" t="s">
        <v>501</v>
      </c>
      <c r="D31" s="39" t="s">
        <v>988</v>
      </c>
      <c r="E31" s="35" t="s">
        <v>457</v>
      </c>
      <c r="F31" s="38" t="s">
        <v>180</v>
      </c>
      <c r="G31" s="38" t="s">
        <v>421</v>
      </c>
      <c r="H31" s="38">
        <v>1.2</v>
      </c>
    </row>
    <row r="32" spans="1:8">
      <c r="A32" s="38"/>
      <c r="B32" s="39" t="s">
        <v>496</v>
      </c>
      <c r="C32" s="38" t="s">
        <v>497</v>
      </c>
      <c r="D32" s="39" t="s">
        <v>989</v>
      </c>
      <c r="E32" s="38" t="s">
        <v>498</v>
      </c>
      <c r="F32" s="39" t="s">
        <v>180</v>
      </c>
      <c r="G32" s="38" t="s">
        <v>499</v>
      </c>
      <c r="H32" s="38">
        <v>1.2</v>
      </c>
    </row>
    <row r="33" spans="1:8">
      <c r="A33" s="38"/>
      <c r="B33" s="38" t="s">
        <v>426</v>
      </c>
      <c r="C33" s="38" t="s">
        <v>424</v>
      </c>
      <c r="D33" s="39" t="s">
        <v>990</v>
      </c>
      <c r="E33" s="38" t="s">
        <v>416</v>
      </c>
      <c r="F33" s="38" t="s">
        <v>418</v>
      </c>
      <c r="G33" s="38" t="s">
        <v>423</v>
      </c>
      <c r="H33" s="38">
        <v>1.2</v>
      </c>
    </row>
    <row r="34" spans="1:8">
      <c r="A34" s="38"/>
      <c r="B34" s="39" t="s">
        <v>502</v>
      </c>
      <c r="C34" s="38" t="s">
        <v>503</v>
      </c>
      <c r="D34" s="39" t="s">
        <v>991</v>
      </c>
      <c r="E34" s="38" t="s">
        <v>416</v>
      </c>
      <c r="F34" s="39" t="s">
        <v>180</v>
      </c>
      <c r="G34" s="38" t="s">
        <v>437</v>
      </c>
      <c r="H34" s="38">
        <v>1.2</v>
      </c>
    </row>
    <row r="35" spans="1:8">
      <c r="A35" s="38"/>
      <c r="B35" s="38" t="s">
        <v>431</v>
      </c>
      <c r="C35" s="38" t="s">
        <v>417</v>
      </c>
      <c r="D35" s="39" t="s">
        <v>992</v>
      </c>
      <c r="E35" s="38" t="s">
        <v>416</v>
      </c>
      <c r="F35" s="38" t="s">
        <v>180</v>
      </c>
      <c r="G35" s="38" t="s">
        <v>432</v>
      </c>
      <c r="H35" s="38">
        <v>1.2</v>
      </c>
    </row>
    <row r="36" spans="1:8">
      <c r="A36" s="38"/>
      <c r="B36" s="39" t="s">
        <v>505</v>
      </c>
      <c r="C36" s="38" t="s">
        <v>506</v>
      </c>
      <c r="D36" s="39" t="s">
        <v>993</v>
      </c>
      <c r="E36" s="38" t="s">
        <v>148</v>
      </c>
      <c r="F36" s="47" t="s">
        <v>477</v>
      </c>
      <c r="G36" s="44" t="s">
        <v>507</v>
      </c>
      <c r="H36" s="38">
        <v>1.2</v>
      </c>
    </row>
    <row r="37" spans="1:8">
      <c r="A37" s="38"/>
      <c r="B37" s="38" t="s">
        <v>433</v>
      </c>
      <c r="C37" s="38" t="s">
        <v>435</v>
      </c>
      <c r="D37" s="39" t="s">
        <v>994</v>
      </c>
      <c r="E37" s="38" t="s">
        <v>638</v>
      </c>
      <c r="F37" s="38" t="s">
        <v>180</v>
      </c>
      <c r="G37" s="38" t="s">
        <v>434</v>
      </c>
      <c r="H37" s="38">
        <v>1.2</v>
      </c>
    </row>
    <row r="38" spans="1:8">
      <c r="A38" s="38"/>
      <c r="B38" s="38" t="s">
        <v>436</v>
      </c>
      <c r="C38" s="38" t="s">
        <v>486</v>
      </c>
      <c r="D38" s="39" t="s">
        <v>995</v>
      </c>
      <c r="E38" s="38" t="s">
        <v>637</v>
      </c>
      <c r="F38" s="38" t="s">
        <v>504</v>
      </c>
      <c r="G38" s="38" t="s">
        <v>437</v>
      </c>
      <c r="H38" s="38">
        <v>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660A0-FA97-1047-A332-22CCF1FE75B9}">
  <sheetPr>
    <tabColor rgb="FF92D050"/>
  </sheetPr>
  <dimension ref="A1:H21"/>
  <sheetViews>
    <sheetView zoomScale="78" zoomScaleNormal="78" workbookViewId="0">
      <selection activeCell="A19" sqref="A19"/>
    </sheetView>
  </sheetViews>
  <sheetFormatPr defaultColWidth="11" defaultRowHeight="15.75"/>
  <cols>
    <col min="1" max="1" width="20.1875" customWidth="1"/>
    <col min="2" max="2" width="38.3125" customWidth="1"/>
    <col min="3" max="3" width="65.8125" customWidth="1"/>
    <col min="4" max="4" width="175" customWidth="1"/>
    <col min="5" max="5" width="92.8125" customWidth="1"/>
    <col min="6" max="6" width="63" customWidth="1"/>
    <col min="7" max="7" width="32.1875" customWidth="1"/>
  </cols>
  <sheetData>
    <row r="1" spans="1:8">
      <c r="B1" s="13" t="s">
        <v>10</v>
      </c>
      <c r="C1" s="13" t="s">
        <v>11</v>
      </c>
      <c r="D1" s="13" t="s">
        <v>12</v>
      </c>
      <c r="E1" s="13" t="s">
        <v>13</v>
      </c>
      <c r="F1" s="13" t="s">
        <v>14</v>
      </c>
      <c r="G1" s="13" t="s">
        <v>15</v>
      </c>
      <c r="H1" s="13" t="s">
        <v>420</v>
      </c>
    </row>
    <row r="2" spans="1:8">
      <c r="A2" s="37" t="s">
        <v>508</v>
      </c>
      <c r="B2" s="38" t="s">
        <v>537</v>
      </c>
      <c r="C2" s="38" t="s">
        <v>536</v>
      </c>
      <c r="D2" s="39" t="s">
        <v>955</v>
      </c>
      <c r="E2" s="38" t="s">
        <v>546</v>
      </c>
      <c r="F2" t="s">
        <v>384</v>
      </c>
      <c r="G2" t="s">
        <v>465</v>
      </c>
      <c r="H2">
        <v>1.2</v>
      </c>
    </row>
    <row r="3" spans="1:8">
      <c r="A3" s="38"/>
      <c r="B3" s="39" t="s">
        <v>275</v>
      </c>
      <c r="C3" s="38" t="s">
        <v>538</v>
      </c>
      <c r="D3" s="38" t="s">
        <v>956</v>
      </c>
      <c r="E3" s="38" t="s">
        <v>547</v>
      </c>
      <c r="F3" t="s">
        <v>539</v>
      </c>
      <c r="G3" t="s">
        <v>465</v>
      </c>
      <c r="H3">
        <v>1.2</v>
      </c>
    </row>
    <row r="4" spans="1:8">
      <c r="A4" s="38"/>
      <c r="B4" s="38" t="s">
        <v>540</v>
      </c>
      <c r="C4" s="38" t="s">
        <v>541</v>
      </c>
      <c r="D4" s="38" t="s">
        <v>957</v>
      </c>
      <c r="E4" s="38" t="s">
        <v>548</v>
      </c>
      <c r="F4" t="s">
        <v>384</v>
      </c>
      <c r="G4" t="s">
        <v>434</v>
      </c>
      <c r="H4">
        <v>1.2</v>
      </c>
    </row>
    <row r="5" spans="1:8">
      <c r="A5" s="38"/>
      <c r="B5" s="39" t="s">
        <v>324</v>
      </c>
      <c r="C5" s="38" t="s">
        <v>543</v>
      </c>
      <c r="D5" s="39" t="s">
        <v>550</v>
      </c>
      <c r="E5" s="35" t="s">
        <v>549</v>
      </c>
      <c r="F5" t="s">
        <v>384</v>
      </c>
      <c r="G5" t="s">
        <v>542</v>
      </c>
      <c r="H5">
        <v>1.2</v>
      </c>
    </row>
    <row r="6" spans="1:8">
      <c r="A6" s="38"/>
      <c r="B6" s="38"/>
      <c r="C6" s="38"/>
      <c r="D6" s="38"/>
      <c r="E6" s="38"/>
    </row>
    <row r="7" spans="1:8">
      <c r="A7" s="40" t="s">
        <v>509</v>
      </c>
      <c r="B7" s="40"/>
      <c r="C7" s="38"/>
      <c r="D7" s="38"/>
      <c r="E7" s="38"/>
    </row>
    <row r="8" spans="1:8" ht="20.25">
      <c r="A8" s="38"/>
      <c r="B8" s="38" t="s">
        <v>559</v>
      </c>
      <c r="C8" s="38" t="s">
        <v>561</v>
      </c>
      <c r="D8" s="39" t="s">
        <v>958</v>
      </c>
      <c r="E8" s="35" t="s">
        <v>551</v>
      </c>
      <c r="F8" s="17" t="s">
        <v>560</v>
      </c>
      <c r="G8" t="s">
        <v>465</v>
      </c>
      <c r="H8">
        <v>1.2</v>
      </c>
    </row>
    <row r="9" spans="1:8">
      <c r="A9" s="39"/>
      <c r="B9" s="38" t="s">
        <v>564</v>
      </c>
      <c r="C9" s="38" t="s">
        <v>562</v>
      </c>
      <c r="D9" s="38" t="s">
        <v>959</v>
      </c>
      <c r="E9" s="35" t="s">
        <v>552</v>
      </c>
      <c r="F9" t="s">
        <v>314</v>
      </c>
      <c r="G9" t="s">
        <v>563</v>
      </c>
      <c r="H9">
        <v>1.1000000000000001</v>
      </c>
    </row>
    <row r="10" spans="1:8">
      <c r="A10" s="38"/>
      <c r="B10" s="38" t="s">
        <v>565</v>
      </c>
      <c r="C10" s="38" t="s">
        <v>566</v>
      </c>
      <c r="D10" s="39" t="s">
        <v>960</v>
      </c>
      <c r="E10" s="35" t="s">
        <v>553</v>
      </c>
      <c r="F10" t="s">
        <v>384</v>
      </c>
      <c r="G10" t="s">
        <v>465</v>
      </c>
      <c r="H10">
        <v>1.1000000000000001</v>
      </c>
    </row>
    <row r="11" spans="1:8" ht="31.5">
      <c r="A11" s="38"/>
      <c r="B11" s="38" t="s">
        <v>567</v>
      </c>
      <c r="C11" s="38" t="s">
        <v>569</v>
      </c>
      <c r="D11" s="41" t="s">
        <v>961</v>
      </c>
      <c r="E11" s="35" t="s">
        <v>554</v>
      </c>
      <c r="F11" t="s">
        <v>568</v>
      </c>
      <c r="G11" s="14" t="s">
        <v>437</v>
      </c>
      <c r="H11">
        <v>1.2</v>
      </c>
    </row>
    <row r="12" spans="1:8">
      <c r="A12" s="38"/>
      <c r="B12" s="38"/>
      <c r="C12" s="38"/>
      <c r="D12" s="38"/>
      <c r="E12" s="38"/>
    </row>
    <row r="13" spans="1:8">
      <c r="A13" s="37" t="s">
        <v>510</v>
      </c>
      <c r="B13" s="40"/>
      <c r="C13" s="38"/>
      <c r="D13" s="38"/>
      <c r="E13" s="38"/>
    </row>
    <row r="14" spans="1:8">
      <c r="A14" s="38"/>
      <c r="B14" s="39" t="s">
        <v>570</v>
      </c>
      <c r="C14" s="38" t="s">
        <v>571</v>
      </c>
      <c r="D14" s="38" t="s">
        <v>962</v>
      </c>
      <c r="E14" s="35" t="s">
        <v>555</v>
      </c>
      <c r="F14" t="s">
        <v>572</v>
      </c>
      <c r="G14" t="s">
        <v>465</v>
      </c>
      <c r="H14">
        <v>1.2</v>
      </c>
    </row>
    <row r="15" spans="1:8">
      <c r="A15" s="38"/>
      <c r="B15" s="39" t="s">
        <v>573</v>
      </c>
      <c r="C15" s="38" t="s">
        <v>575</v>
      </c>
      <c r="D15" s="39" t="s">
        <v>574</v>
      </c>
      <c r="E15" s="35" t="s">
        <v>556</v>
      </c>
      <c r="F15" t="s">
        <v>576</v>
      </c>
      <c r="G15" t="s">
        <v>577</v>
      </c>
      <c r="H15">
        <v>1.2</v>
      </c>
    </row>
    <row r="16" spans="1:8">
      <c r="A16" s="38"/>
      <c r="B16" s="38" t="s">
        <v>578</v>
      </c>
      <c r="C16" s="38" t="s">
        <v>579</v>
      </c>
      <c r="D16" s="38" t="s">
        <v>965</v>
      </c>
      <c r="E16" s="35" t="s">
        <v>557</v>
      </c>
      <c r="F16" t="s">
        <v>545</v>
      </c>
      <c r="G16" t="s">
        <v>580</v>
      </c>
      <c r="H16">
        <v>1.2</v>
      </c>
    </row>
    <row r="17" spans="1:8" ht="31.5">
      <c r="A17" s="38"/>
      <c r="B17" s="38" t="s">
        <v>324</v>
      </c>
      <c r="C17" s="38" t="s">
        <v>544</v>
      </c>
      <c r="D17" s="42" t="s">
        <v>963</v>
      </c>
      <c r="E17" s="38"/>
      <c r="F17" t="s">
        <v>545</v>
      </c>
      <c r="G17" t="s">
        <v>542</v>
      </c>
      <c r="H17">
        <v>1.2</v>
      </c>
    </row>
    <row r="18" spans="1:8">
      <c r="A18" s="38"/>
      <c r="B18" s="38"/>
      <c r="C18" s="38"/>
      <c r="D18" s="38"/>
      <c r="E18" s="38"/>
    </row>
    <row r="19" spans="1:8">
      <c r="A19" s="40" t="s">
        <v>511</v>
      </c>
      <c r="B19" s="40"/>
      <c r="C19" s="38"/>
      <c r="D19" s="38"/>
      <c r="E19" s="38"/>
    </row>
    <row r="20" spans="1:8">
      <c r="A20" s="38"/>
      <c r="B20" s="39" t="s">
        <v>627</v>
      </c>
      <c r="C20" s="38" t="s">
        <v>628</v>
      </c>
      <c r="D20" s="38" t="s">
        <v>964</v>
      </c>
      <c r="E20" s="38" t="s">
        <v>558</v>
      </c>
      <c r="F20" t="s">
        <v>629</v>
      </c>
      <c r="G20" t="s">
        <v>428</v>
      </c>
      <c r="H20">
        <v>1.2</v>
      </c>
    </row>
    <row r="21" spans="1:8">
      <c r="D21" s="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BF69F-7343-BA4F-BF6C-4541B96423FE}">
  <sheetPr>
    <tabColor rgb="FF92D050"/>
  </sheetPr>
  <dimension ref="A1:L101"/>
  <sheetViews>
    <sheetView topLeftCell="A81" workbookViewId="0">
      <selection activeCell="B97" sqref="B97"/>
    </sheetView>
  </sheetViews>
  <sheetFormatPr defaultColWidth="11" defaultRowHeight="15.75"/>
  <cols>
    <col min="1" max="1" width="31.5" customWidth="1"/>
    <col min="2" max="2" width="58" customWidth="1"/>
    <col min="3" max="3" width="56.6875" customWidth="1"/>
    <col min="4" max="4" width="226.1875" customWidth="1"/>
    <col min="5" max="5" width="43.1875" customWidth="1"/>
    <col min="6" max="6" width="131.6875" customWidth="1"/>
    <col min="7" max="7" width="34" customWidth="1"/>
  </cols>
  <sheetData>
    <row r="1" spans="1:8">
      <c r="B1" s="13" t="s">
        <v>10</v>
      </c>
      <c r="C1" s="13" t="s">
        <v>11</v>
      </c>
      <c r="D1" s="13" t="s">
        <v>12</v>
      </c>
      <c r="E1" s="13" t="s">
        <v>13</v>
      </c>
      <c r="F1" s="13" t="s">
        <v>14</v>
      </c>
      <c r="G1" s="13" t="s">
        <v>15</v>
      </c>
      <c r="H1" s="13" t="s">
        <v>420</v>
      </c>
    </row>
    <row r="2" spans="1:8">
      <c r="A2" s="48" t="s">
        <v>1074</v>
      </c>
      <c r="B2" t="s">
        <v>1434</v>
      </c>
      <c r="C2" t="s">
        <v>1075</v>
      </c>
      <c r="D2" t="s">
        <v>1076</v>
      </c>
      <c r="E2" t="s">
        <v>1077</v>
      </c>
    </row>
    <row r="3" spans="1:8">
      <c r="B3" t="s">
        <v>1435</v>
      </c>
      <c r="C3" t="s">
        <v>1083</v>
      </c>
      <c r="D3" t="s">
        <v>1080</v>
      </c>
      <c r="E3" t="s">
        <v>1077</v>
      </c>
    </row>
    <row r="4" spans="1:8">
      <c r="B4" t="s">
        <v>58</v>
      </c>
      <c r="C4" t="s">
        <v>1082</v>
      </c>
      <c r="D4" t="s">
        <v>1081</v>
      </c>
      <c r="E4" t="s">
        <v>1079</v>
      </c>
    </row>
    <row r="5" spans="1:8">
      <c r="B5" t="s">
        <v>1436</v>
      </c>
      <c r="C5" t="s">
        <v>1078</v>
      </c>
      <c r="D5" t="s">
        <v>1084</v>
      </c>
      <c r="E5" t="s">
        <v>1094</v>
      </c>
    </row>
    <row r="6" spans="1:8">
      <c r="B6" t="s">
        <v>1437</v>
      </c>
      <c r="C6" t="s">
        <v>1078</v>
      </c>
      <c r="D6" t="s">
        <v>1085</v>
      </c>
      <c r="E6" t="s">
        <v>1077</v>
      </c>
    </row>
    <row r="7" spans="1:8">
      <c r="B7" t="s">
        <v>1438</v>
      </c>
      <c r="C7" t="s">
        <v>1095</v>
      </c>
      <c r="D7" t="s">
        <v>1086</v>
      </c>
      <c r="E7" t="s">
        <v>1077</v>
      </c>
    </row>
    <row r="8" spans="1:8">
      <c r="B8" t="s">
        <v>1425</v>
      </c>
      <c r="C8" t="s">
        <v>1087</v>
      </c>
      <c r="D8" t="s">
        <v>1088</v>
      </c>
      <c r="E8" t="s">
        <v>1107</v>
      </c>
    </row>
    <row r="9" spans="1:8">
      <c r="B9" t="s">
        <v>1439</v>
      </c>
      <c r="C9" t="s">
        <v>1097</v>
      </c>
      <c r="D9" t="s">
        <v>1089</v>
      </c>
      <c r="E9" t="s">
        <v>1108</v>
      </c>
      <c r="F9" t="s">
        <v>1098</v>
      </c>
      <c r="G9" t="s">
        <v>1099</v>
      </c>
      <c r="H9">
        <v>1.2</v>
      </c>
    </row>
    <row r="10" spans="1:8">
      <c r="B10" t="s">
        <v>1440</v>
      </c>
      <c r="C10" t="s">
        <v>1090</v>
      </c>
      <c r="D10" t="s">
        <v>1091</v>
      </c>
      <c r="E10" t="s">
        <v>1109</v>
      </c>
    </row>
    <row r="11" spans="1:8">
      <c r="B11" t="s">
        <v>1441</v>
      </c>
      <c r="C11" t="s">
        <v>1100</v>
      </c>
      <c r="D11" t="s">
        <v>1092</v>
      </c>
      <c r="E11" t="s">
        <v>1110</v>
      </c>
      <c r="F11" t="s">
        <v>1101</v>
      </c>
      <c r="G11" t="s">
        <v>437</v>
      </c>
      <c r="H11">
        <v>1.2</v>
      </c>
    </row>
    <row r="12" spans="1:8">
      <c r="B12" t="s">
        <v>1442</v>
      </c>
      <c r="C12" t="s">
        <v>1102</v>
      </c>
      <c r="D12" t="s">
        <v>1093</v>
      </c>
      <c r="E12" t="s">
        <v>1111</v>
      </c>
      <c r="F12" s="11" t="s">
        <v>1103</v>
      </c>
      <c r="G12" t="s">
        <v>860</v>
      </c>
      <c r="H12">
        <v>1.2</v>
      </c>
    </row>
    <row r="13" spans="1:8">
      <c r="B13" t="s">
        <v>1443</v>
      </c>
      <c r="C13" t="s">
        <v>1105</v>
      </c>
      <c r="D13" t="s">
        <v>1104</v>
      </c>
      <c r="E13" t="s">
        <v>1112</v>
      </c>
      <c r="F13" t="s">
        <v>1106</v>
      </c>
      <c r="G13" t="s">
        <v>846</v>
      </c>
      <c r="H13">
        <v>1.1000000000000001</v>
      </c>
    </row>
    <row r="15" spans="1:8">
      <c r="A15" t="s">
        <v>1113</v>
      </c>
      <c r="B15" t="s">
        <v>1434</v>
      </c>
      <c r="C15" t="s">
        <v>1114</v>
      </c>
      <c r="D15" t="s">
        <v>1115</v>
      </c>
      <c r="E15" t="s">
        <v>1116</v>
      </c>
    </row>
    <row r="16" spans="1:8">
      <c r="B16" t="s">
        <v>1444</v>
      </c>
      <c r="C16" t="s">
        <v>1117</v>
      </c>
      <c r="D16" s="8" t="s">
        <v>1118</v>
      </c>
    </row>
    <row r="17" spans="1:5">
      <c r="B17" t="s">
        <v>1435</v>
      </c>
      <c r="C17" t="s">
        <v>1119</v>
      </c>
      <c r="D17" s="8" t="s">
        <v>1120</v>
      </c>
      <c r="E17" t="s">
        <v>1077</v>
      </c>
    </row>
    <row r="18" spans="1:5">
      <c r="B18" t="s">
        <v>58</v>
      </c>
      <c r="C18" t="s">
        <v>1082</v>
      </c>
      <c r="D18" s="8" t="s">
        <v>1121</v>
      </c>
      <c r="E18" t="s">
        <v>1122</v>
      </c>
    </row>
    <row r="19" spans="1:5">
      <c r="B19" t="s">
        <v>1445</v>
      </c>
      <c r="C19" t="s">
        <v>1124</v>
      </c>
      <c r="D19" s="8" t="s">
        <v>1123</v>
      </c>
      <c r="E19" t="s">
        <v>152</v>
      </c>
    </row>
    <row r="20" spans="1:5">
      <c r="B20" t="s">
        <v>1446</v>
      </c>
      <c r="C20" t="s">
        <v>1125</v>
      </c>
      <c r="D20" s="8" t="s">
        <v>1126</v>
      </c>
      <c r="E20" t="s">
        <v>1127</v>
      </c>
    </row>
    <row r="21" spans="1:5">
      <c r="B21" t="s">
        <v>1447</v>
      </c>
      <c r="C21" t="s">
        <v>1128</v>
      </c>
      <c r="D21" s="8" t="s">
        <v>1129</v>
      </c>
      <c r="E21" t="s">
        <v>1130</v>
      </c>
    </row>
    <row r="22" spans="1:5">
      <c r="B22" t="s">
        <v>1448</v>
      </c>
      <c r="C22" t="s">
        <v>1131</v>
      </c>
      <c r="D22" s="8" t="s">
        <v>1132</v>
      </c>
      <c r="E22" t="s">
        <v>1127</v>
      </c>
    </row>
    <row r="24" spans="1:5">
      <c r="A24" s="49" t="s">
        <v>1133</v>
      </c>
      <c r="B24" s="49" t="s">
        <v>1134</v>
      </c>
      <c r="C24" s="50" t="s">
        <v>1135</v>
      </c>
      <c r="D24" s="50" t="s">
        <v>1136</v>
      </c>
      <c r="E24" t="s">
        <v>1096</v>
      </c>
    </row>
    <row r="25" spans="1:5">
      <c r="A25" s="49"/>
      <c r="B25" s="49" t="s">
        <v>1137</v>
      </c>
      <c r="C25" s="49" t="s">
        <v>1138</v>
      </c>
      <c r="D25" s="50" t="s">
        <v>1139</v>
      </c>
      <c r="E25" s="49" t="s">
        <v>1152</v>
      </c>
    </row>
    <row r="26" spans="1:5">
      <c r="A26" s="49"/>
      <c r="B26" s="49" t="s">
        <v>1140</v>
      </c>
      <c r="C26" s="50" t="s">
        <v>1141</v>
      </c>
      <c r="D26" s="50" t="s">
        <v>1142</v>
      </c>
      <c r="E26" t="s">
        <v>1096</v>
      </c>
    </row>
    <row r="27" spans="1:5">
      <c r="A27" s="49"/>
      <c r="B27" s="49" t="s">
        <v>1143</v>
      </c>
      <c r="C27" s="50" t="s">
        <v>1144</v>
      </c>
      <c r="D27" s="50" t="s">
        <v>1145</v>
      </c>
      <c r="E27" t="s">
        <v>1096</v>
      </c>
    </row>
    <row r="28" spans="1:5">
      <c r="A28" s="49"/>
      <c r="B28" s="49" t="s">
        <v>1146</v>
      </c>
      <c r="C28" s="50" t="s">
        <v>1147</v>
      </c>
      <c r="D28" s="50" t="s">
        <v>1151</v>
      </c>
      <c r="E28" t="s">
        <v>1096</v>
      </c>
    </row>
    <row r="29" spans="1:5">
      <c r="A29" s="49"/>
      <c r="B29" s="49" t="s">
        <v>1148</v>
      </c>
      <c r="C29" s="50" t="s">
        <v>1149</v>
      </c>
      <c r="D29" s="50" t="s">
        <v>1150</v>
      </c>
      <c r="E29" t="s">
        <v>1096</v>
      </c>
    </row>
    <row r="31" spans="1:5">
      <c r="A31" s="51" t="s">
        <v>1153</v>
      </c>
      <c r="B31" t="s">
        <v>1349</v>
      </c>
      <c r="C31" s="8" t="s">
        <v>1154</v>
      </c>
      <c r="D31" s="8" t="s">
        <v>1155</v>
      </c>
      <c r="E31" t="s">
        <v>1156</v>
      </c>
    </row>
    <row r="32" spans="1:5">
      <c r="B32" t="s">
        <v>50</v>
      </c>
      <c r="C32" s="8" t="s">
        <v>1157</v>
      </c>
      <c r="D32" s="8" t="s">
        <v>1158</v>
      </c>
      <c r="E32" t="s">
        <v>1130</v>
      </c>
    </row>
    <row r="33" spans="1:5">
      <c r="B33" t="s">
        <v>1359</v>
      </c>
      <c r="C33" s="8" t="s">
        <v>1159</v>
      </c>
      <c r="D33" s="8" t="s">
        <v>1160</v>
      </c>
      <c r="E33" t="s">
        <v>1161</v>
      </c>
    </row>
    <row r="34" spans="1:5">
      <c r="B34" t="s">
        <v>1369</v>
      </c>
      <c r="C34" s="8" t="s">
        <v>1162</v>
      </c>
      <c r="D34" s="51" t="s">
        <v>1163</v>
      </c>
      <c r="E34" t="s">
        <v>1130</v>
      </c>
    </row>
    <row r="35" spans="1:5">
      <c r="B35" t="s">
        <v>58</v>
      </c>
      <c r="C35" s="51" t="s">
        <v>1164</v>
      </c>
      <c r="D35" s="51" t="s">
        <v>1163</v>
      </c>
    </row>
    <row r="36" spans="1:5">
      <c r="B36" t="s">
        <v>1372</v>
      </c>
      <c r="C36" s="8" t="s">
        <v>1165</v>
      </c>
      <c r="D36" s="8" t="s">
        <v>1166</v>
      </c>
    </row>
    <row r="38" spans="1:5">
      <c r="A38" t="s">
        <v>1167</v>
      </c>
      <c r="B38" t="s">
        <v>1435</v>
      </c>
      <c r="C38" s="8" t="s">
        <v>1168</v>
      </c>
      <c r="D38" t="s">
        <v>1169</v>
      </c>
      <c r="E38" t="s">
        <v>1116</v>
      </c>
    </row>
    <row r="39" spans="1:5">
      <c r="B39" t="s">
        <v>1449</v>
      </c>
      <c r="C39" s="8" t="s">
        <v>1171</v>
      </c>
      <c r="D39" t="s">
        <v>1172</v>
      </c>
      <c r="E39" t="s">
        <v>1170</v>
      </c>
    </row>
    <row r="40" spans="1:5">
      <c r="B40" s="6" t="s">
        <v>1450</v>
      </c>
      <c r="C40" t="s">
        <v>1173</v>
      </c>
      <c r="D40" t="s">
        <v>1174</v>
      </c>
      <c r="E40" t="s">
        <v>1175</v>
      </c>
    </row>
    <row r="45" spans="1:5">
      <c r="A45" t="s">
        <v>1183</v>
      </c>
      <c r="B45" s="64" t="s">
        <v>1452</v>
      </c>
      <c r="C45" s="49"/>
      <c r="D45" s="49" t="s">
        <v>1188</v>
      </c>
      <c r="E45" t="s">
        <v>1189</v>
      </c>
    </row>
    <row r="46" spans="1:5">
      <c r="B46" s="49" t="s">
        <v>1184</v>
      </c>
      <c r="C46" s="49"/>
      <c r="D46" s="50" t="s">
        <v>1190</v>
      </c>
      <c r="E46" t="s">
        <v>1182</v>
      </c>
    </row>
    <row r="47" spans="1:5">
      <c r="B47" s="49" t="s">
        <v>1185</v>
      </c>
      <c r="C47" s="49"/>
      <c r="D47" s="50" t="s">
        <v>1191</v>
      </c>
      <c r="E47" t="s">
        <v>1182</v>
      </c>
    </row>
    <row r="48" spans="1:5">
      <c r="B48" s="64" t="s">
        <v>1438</v>
      </c>
      <c r="C48" s="49" t="s">
        <v>1186</v>
      </c>
      <c r="D48" s="49" t="s">
        <v>1187</v>
      </c>
      <c r="E48" t="s">
        <v>1182</v>
      </c>
    </row>
    <row r="49" spans="1:5">
      <c r="B49" s="64" t="s">
        <v>1440</v>
      </c>
      <c r="C49" s="49"/>
      <c r="D49" s="49" t="s">
        <v>1192</v>
      </c>
      <c r="E49" t="s">
        <v>1189</v>
      </c>
    </row>
    <row r="50" spans="1:5">
      <c r="B50" s="64" t="s">
        <v>1435</v>
      </c>
      <c r="C50" s="49"/>
      <c r="D50" s="50" t="s">
        <v>1193</v>
      </c>
      <c r="E50" t="s">
        <v>1182</v>
      </c>
    </row>
    <row r="51" spans="1:5">
      <c r="B51" s="64" t="s">
        <v>1453</v>
      </c>
      <c r="C51" s="49"/>
      <c r="D51" s="50" t="s">
        <v>1194</v>
      </c>
      <c r="E51" t="s">
        <v>1189</v>
      </c>
    </row>
    <row r="52" spans="1:5">
      <c r="B52" s="64" t="s">
        <v>1454</v>
      </c>
      <c r="C52" s="49"/>
      <c r="D52" s="50" t="s">
        <v>1196</v>
      </c>
      <c r="E52" t="s">
        <v>1198</v>
      </c>
    </row>
    <row r="53" spans="1:5">
      <c r="B53" s="64" t="s">
        <v>58</v>
      </c>
      <c r="C53" s="49"/>
      <c r="D53" s="50" t="s">
        <v>1195</v>
      </c>
    </row>
    <row r="57" spans="1:5">
      <c r="A57" s="6" t="s">
        <v>1210</v>
      </c>
      <c r="B57" s="49" t="s">
        <v>1200</v>
      </c>
      <c r="C57" t="s">
        <v>1201</v>
      </c>
      <c r="D57" s="50" t="s">
        <v>1202</v>
      </c>
      <c r="E57" t="s">
        <v>1208</v>
      </c>
    </row>
    <row r="58" spans="1:5" ht="19.899999999999999">
      <c r="B58" s="49" t="s">
        <v>684</v>
      </c>
      <c r="C58" s="52" t="s">
        <v>1203</v>
      </c>
      <c r="D58" s="50" t="s">
        <v>1204</v>
      </c>
      <c r="E58" t="s">
        <v>1209</v>
      </c>
    </row>
    <row r="59" spans="1:5">
      <c r="B59" s="11" t="s">
        <v>1205</v>
      </c>
      <c r="C59" t="s">
        <v>1206</v>
      </c>
      <c r="D59" s="50" t="s">
        <v>1207</v>
      </c>
      <c r="E59" t="s">
        <v>1182</v>
      </c>
    </row>
    <row r="61" spans="1:5">
      <c r="A61" s="48" t="s">
        <v>1211</v>
      </c>
      <c r="B61" s="65" t="s">
        <v>1434</v>
      </c>
      <c r="C61" s="49" t="s">
        <v>1212</v>
      </c>
      <c r="D61" s="50" t="s">
        <v>1213</v>
      </c>
      <c r="E61" s="49" t="s">
        <v>1208</v>
      </c>
    </row>
    <row r="62" spans="1:5">
      <c r="B62" s="64" t="s">
        <v>21</v>
      </c>
      <c r="C62" s="49" t="s">
        <v>1214</v>
      </c>
      <c r="D62" s="50" t="s">
        <v>1215</v>
      </c>
      <c r="E62" s="49" t="s">
        <v>1216</v>
      </c>
    </row>
    <row r="63" spans="1:5">
      <c r="B63" s="64" t="s">
        <v>1458</v>
      </c>
      <c r="C63" s="49" t="s">
        <v>1212</v>
      </c>
      <c r="D63" s="50" t="s">
        <v>1217</v>
      </c>
      <c r="E63" s="49" t="s">
        <v>1208</v>
      </c>
    </row>
    <row r="64" spans="1:5">
      <c r="B64" s="64" t="s">
        <v>1459</v>
      </c>
      <c r="C64" s="50" t="s">
        <v>1218</v>
      </c>
      <c r="D64" s="50" t="s">
        <v>1219</v>
      </c>
      <c r="E64" s="49" t="s">
        <v>1208</v>
      </c>
    </row>
    <row r="65" spans="1:6">
      <c r="B65" s="64" t="s">
        <v>1369</v>
      </c>
      <c r="C65" s="49" t="s">
        <v>1214</v>
      </c>
      <c r="D65" s="50" t="s">
        <v>1220</v>
      </c>
      <c r="E65" s="49" t="s">
        <v>1209</v>
      </c>
    </row>
    <row r="66" spans="1:6">
      <c r="B66" s="64" t="s">
        <v>1445</v>
      </c>
      <c r="C66" s="49" t="s">
        <v>1212</v>
      </c>
      <c r="D66" s="50" t="s">
        <v>1221</v>
      </c>
      <c r="E66" s="49" t="s">
        <v>1216</v>
      </c>
    </row>
    <row r="67" spans="1:6">
      <c r="B67" s="64" t="s">
        <v>1460</v>
      </c>
      <c r="C67" s="49" t="s">
        <v>1212</v>
      </c>
      <c r="D67" s="50" t="s">
        <v>1222</v>
      </c>
      <c r="E67" s="49" t="s">
        <v>1216</v>
      </c>
    </row>
    <row r="68" spans="1:6">
      <c r="B68" s="64" t="s">
        <v>1461</v>
      </c>
      <c r="C68" s="49" t="s">
        <v>1214</v>
      </c>
      <c r="D68" s="50" t="s">
        <v>1223</v>
      </c>
      <c r="E68" s="49" t="s">
        <v>1224</v>
      </c>
    </row>
    <row r="69" spans="1:6">
      <c r="B69" s="64" t="s">
        <v>1367</v>
      </c>
      <c r="C69" s="50" t="s">
        <v>1225</v>
      </c>
      <c r="D69" s="49" t="s">
        <v>1226</v>
      </c>
      <c r="E69" s="49" t="s">
        <v>1216</v>
      </c>
    </row>
    <row r="70" spans="1:6">
      <c r="B70" s="65" t="s">
        <v>1462</v>
      </c>
      <c r="C70" s="49" t="s">
        <v>1227</v>
      </c>
      <c r="D70" s="49" t="s">
        <v>1228</v>
      </c>
      <c r="E70" s="49" t="s">
        <v>1216</v>
      </c>
    </row>
    <row r="71" spans="1:6">
      <c r="B71" s="64" t="s">
        <v>1463</v>
      </c>
      <c r="C71" s="50" t="s">
        <v>1229</v>
      </c>
      <c r="D71" s="49" t="s">
        <v>1230</v>
      </c>
      <c r="E71" s="49" t="s">
        <v>1216</v>
      </c>
    </row>
    <row r="72" spans="1:6">
      <c r="B72" s="49" t="s">
        <v>1231</v>
      </c>
      <c r="C72" s="50" t="s">
        <v>1232</v>
      </c>
      <c r="D72" s="50" t="s">
        <v>1233</v>
      </c>
      <c r="E72" s="49" t="s">
        <v>1208</v>
      </c>
    </row>
    <row r="73" spans="1:6">
      <c r="A73" t="s">
        <v>1234</v>
      </c>
      <c r="B73" s="64" t="s">
        <v>1464</v>
      </c>
      <c r="C73" s="50" t="s">
        <v>1236</v>
      </c>
      <c r="D73" s="50" t="s">
        <v>1235</v>
      </c>
      <c r="E73" s="49"/>
    </row>
    <row r="74" spans="1:6">
      <c r="B74" s="64" t="s">
        <v>1425</v>
      </c>
      <c r="C74" s="50" t="s">
        <v>1214</v>
      </c>
      <c r="D74" s="50" t="s">
        <v>1237</v>
      </c>
      <c r="E74" s="49"/>
    </row>
    <row r="75" spans="1:6">
      <c r="B75" s="64" t="s">
        <v>1448</v>
      </c>
      <c r="C75" s="50" t="s">
        <v>1236</v>
      </c>
      <c r="D75" s="50" t="s">
        <v>1238</v>
      </c>
      <c r="E75" s="49"/>
    </row>
    <row r="76" spans="1:6">
      <c r="B76" s="64" t="s">
        <v>1465</v>
      </c>
      <c r="C76" s="50" t="s">
        <v>1239</v>
      </c>
      <c r="D76" s="50" t="s">
        <v>1240</v>
      </c>
      <c r="E76" s="49"/>
    </row>
    <row r="78" spans="1:6">
      <c r="A78" s="55" t="s">
        <v>1241</v>
      </c>
      <c r="B78" s="53" t="s">
        <v>1425</v>
      </c>
      <c r="C78" s="54" t="s">
        <v>1242</v>
      </c>
      <c r="D78" s="54" t="s">
        <v>1248</v>
      </c>
      <c r="E78" s="53" t="s">
        <v>1243</v>
      </c>
      <c r="F78" s="53"/>
    </row>
    <row r="79" spans="1:6">
      <c r="A79" s="53"/>
      <c r="B79" s="53" t="s">
        <v>26</v>
      </c>
      <c r="C79" s="54" t="s">
        <v>1242</v>
      </c>
      <c r="D79" s="54" t="s">
        <v>1249</v>
      </c>
      <c r="E79" s="53"/>
      <c r="F79" s="53"/>
    </row>
    <row r="80" spans="1:6">
      <c r="A80" s="53"/>
      <c r="B80" s="53" t="s">
        <v>1466</v>
      </c>
      <c r="C80" s="54" t="s">
        <v>1244</v>
      </c>
      <c r="D80" s="53" t="s">
        <v>1250</v>
      </c>
      <c r="E80" s="53" t="s">
        <v>1245</v>
      </c>
      <c r="F80" s="53"/>
    </row>
    <row r="81" spans="1:12">
      <c r="A81" s="53"/>
      <c r="B81" s="53" t="s">
        <v>1246</v>
      </c>
      <c r="C81" s="54" t="s">
        <v>1247</v>
      </c>
      <c r="D81" s="54" t="s">
        <v>1251</v>
      </c>
      <c r="E81" s="53"/>
      <c r="F81" s="53"/>
    </row>
    <row r="84" spans="1:12" s="62" customFormat="1">
      <c r="A84" s="62" t="s">
        <v>1457</v>
      </c>
      <c r="B84" s="62" t="s">
        <v>1415</v>
      </c>
      <c r="C84" s="62" t="s">
        <v>1397</v>
      </c>
      <c r="D84" s="62" t="s">
        <v>1398</v>
      </c>
      <c r="E84" s="62" t="s">
        <v>1416</v>
      </c>
      <c r="F84" s="62" t="s">
        <v>1417</v>
      </c>
      <c r="G84" s="62" t="s">
        <v>1418</v>
      </c>
      <c r="H84" s="62" t="s">
        <v>1419</v>
      </c>
      <c r="I84" s="62" t="s">
        <v>1420</v>
      </c>
      <c r="J84" s="62" t="s">
        <v>1420</v>
      </c>
      <c r="K84" s="62" t="s">
        <v>1420</v>
      </c>
      <c r="L84" s="63" t="s">
        <v>1420</v>
      </c>
    </row>
    <row r="85" spans="1:12" s="62" customFormat="1">
      <c r="A85" s="62" t="s">
        <v>1282</v>
      </c>
      <c r="B85" s="62" t="s">
        <v>1415</v>
      </c>
      <c r="C85" s="62" t="s">
        <v>1401</v>
      </c>
      <c r="D85" s="62" t="s">
        <v>1402</v>
      </c>
      <c r="E85" s="62" t="s">
        <v>1421</v>
      </c>
      <c r="F85" s="62" t="s">
        <v>1422</v>
      </c>
      <c r="G85" s="62" t="s">
        <v>1423</v>
      </c>
      <c r="H85" s="62" t="s">
        <v>1424</v>
      </c>
      <c r="I85" s="62" t="s">
        <v>1420</v>
      </c>
      <c r="J85" s="62" t="s">
        <v>1420</v>
      </c>
      <c r="K85" s="62" t="s">
        <v>1420</v>
      </c>
      <c r="L85" s="63" t="s">
        <v>1420</v>
      </c>
    </row>
    <row r="86" spans="1:12" s="62" customFormat="1">
      <c r="A86" s="62" t="s">
        <v>1282</v>
      </c>
      <c r="B86" s="62" t="s">
        <v>1415</v>
      </c>
      <c r="C86" s="62" t="s">
        <v>1425</v>
      </c>
      <c r="D86" s="62" t="s">
        <v>1400</v>
      </c>
      <c r="E86" s="62" t="s">
        <v>1426</v>
      </c>
      <c r="F86" s="62" t="s">
        <v>1427</v>
      </c>
      <c r="G86" s="62" t="s">
        <v>1428</v>
      </c>
      <c r="H86" s="62" t="s">
        <v>1429</v>
      </c>
      <c r="I86" s="62" t="s">
        <v>1420</v>
      </c>
      <c r="J86" s="62" t="s">
        <v>1420</v>
      </c>
      <c r="K86" s="62" t="s">
        <v>1420</v>
      </c>
      <c r="L86" s="63" t="s">
        <v>1420</v>
      </c>
    </row>
    <row r="87" spans="1:12" s="62" customFormat="1">
      <c r="A87" s="62" t="s">
        <v>1282</v>
      </c>
      <c r="B87" s="62" t="s">
        <v>1415</v>
      </c>
      <c r="C87" s="62" t="s">
        <v>1403</v>
      </c>
      <c r="D87" s="62" t="s">
        <v>1404</v>
      </c>
      <c r="E87" s="62" t="s">
        <v>1430</v>
      </c>
      <c r="F87" s="62" t="s">
        <v>1431</v>
      </c>
      <c r="G87" s="62" t="s">
        <v>1432</v>
      </c>
      <c r="H87" s="62" t="s">
        <v>1433</v>
      </c>
      <c r="I87" s="62" t="s">
        <v>1420</v>
      </c>
      <c r="J87" s="62" t="s">
        <v>1420</v>
      </c>
      <c r="K87" s="62" t="s">
        <v>1420</v>
      </c>
      <c r="L87" s="63" t="s">
        <v>1420</v>
      </c>
    </row>
    <row r="90" spans="1:12">
      <c r="A90" t="s">
        <v>1451</v>
      </c>
      <c r="B90" t="s">
        <v>1425</v>
      </c>
      <c r="C90" t="s">
        <v>1176</v>
      </c>
      <c r="D90" t="s">
        <v>1177</v>
      </c>
      <c r="E90" t="s">
        <v>1180</v>
      </c>
    </row>
    <row r="91" spans="1:12">
      <c r="B91" t="s">
        <v>1388</v>
      </c>
      <c r="C91" t="s">
        <v>1178</v>
      </c>
      <c r="D91" t="s">
        <v>1179</v>
      </c>
      <c r="E91" s="8" t="s">
        <v>1180</v>
      </c>
    </row>
    <row r="92" spans="1:12">
      <c r="B92" t="s">
        <v>67</v>
      </c>
      <c r="C92" t="s">
        <v>1178</v>
      </c>
      <c r="D92" t="s">
        <v>1181</v>
      </c>
      <c r="E92" t="s">
        <v>1182</v>
      </c>
    </row>
    <row r="95" spans="1:12">
      <c r="A95" t="s">
        <v>1456</v>
      </c>
      <c r="B95" s="64" t="s">
        <v>1455</v>
      </c>
      <c r="C95" s="49"/>
      <c r="D95" s="50" t="s">
        <v>1197</v>
      </c>
      <c r="E95" t="s">
        <v>1189</v>
      </c>
    </row>
    <row r="96" spans="1:12">
      <c r="B96" s="64" t="s">
        <v>1425</v>
      </c>
      <c r="C96" s="49"/>
      <c r="D96" s="50" t="s">
        <v>1199</v>
      </c>
    </row>
    <row r="98" spans="1:12" s="62" customFormat="1" ht="14.25">
      <c r="A98" s="62" t="s">
        <v>1467</v>
      </c>
      <c r="B98" s="62" t="s">
        <v>1468</v>
      </c>
      <c r="C98" s="62" t="s">
        <v>1464</v>
      </c>
      <c r="D98" s="62" t="s">
        <v>1469</v>
      </c>
      <c r="E98" s="62" t="s">
        <v>1470</v>
      </c>
      <c r="F98" s="62" t="s">
        <v>1471</v>
      </c>
      <c r="G98" s="62" t="s">
        <v>1472</v>
      </c>
      <c r="H98" s="62" t="s">
        <v>1473</v>
      </c>
      <c r="I98" s="62" t="s">
        <v>1420</v>
      </c>
      <c r="J98" s="62" t="s">
        <v>1420</v>
      </c>
      <c r="K98" s="62" t="s">
        <v>1420</v>
      </c>
      <c r="L98" s="63" t="s">
        <v>1420</v>
      </c>
    </row>
    <row r="99" spans="1:12" s="62" customFormat="1" ht="14.25">
      <c r="A99" s="62" t="s">
        <v>1467</v>
      </c>
      <c r="B99" s="62" t="s">
        <v>1468</v>
      </c>
      <c r="C99" s="62" t="s">
        <v>1425</v>
      </c>
      <c r="D99" s="62" t="s">
        <v>1400</v>
      </c>
      <c r="E99" s="62" t="s">
        <v>1474</v>
      </c>
      <c r="F99" s="62" t="s">
        <v>1475</v>
      </c>
      <c r="G99" s="62" t="s">
        <v>1428</v>
      </c>
      <c r="H99" s="62" t="s">
        <v>1476</v>
      </c>
      <c r="I99" s="62">
        <v>20</v>
      </c>
      <c r="J99" s="62">
        <v>40</v>
      </c>
      <c r="K99" s="62" t="s">
        <v>1265</v>
      </c>
      <c r="L99" s="63" t="s">
        <v>1266</v>
      </c>
    </row>
    <row r="100" spans="1:12" s="62" customFormat="1" ht="14.25">
      <c r="A100" s="62" t="s">
        <v>1467</v>
      </c>
      <c r="B100" s="62" t="s">
        <v>1468</v>
      </c>
      <c r="C100" s="62" t="s">
        <v>1448</v>
      </c>
      <c r="D100" s="62" t="s">
        <v>1477</v>
      </c>
      <c r="E100" s="62" t="s">
        <v>1478</v>
      </c>
      <c r="F100" s="62" t="s">
        <v>1479</v>
      </c>
      <c r="G100" s="62" t="s">
        <v>1480</v>
      </c>
      <c r="H100" s="62" t="s">
        <v>1481</v>
      </c>
      <c r="I100" s="62">
        <v>5</v>
      </c>
      <c r="J100" s="62">
        <v>20</v>
      </c>
      <c r="K100" s="62" t="s">
        <v>1265</v>
      </c>
      <c r="L100" s="63" t="s">
        <v>1266</v>
      </c>
    </row>
    <row r="101" spans="1:12" s="62" customFormat="1" ht="14.25">
      <c r="A101" s="62" t="s">
        <v>1467</v>
      </c>
      <c r="B101" s="62" t="s">
        <v>1468</v>
      </c>
      <c r="C101" s="62" t="s">
        <v>1465</v>
      </c>
      <c r="D101" s="62" t="s">
        <v>1482</v>
      </c>
      <c r="E101" s="62" t="s">
        <v>1483</v>
      </c>
      <c r="F101" s="62" t="s">
        <v>1484</v>
      </c>
      <c r="G101" s="62" t="s">
        <v>1485</v>
      </c>
      <c r="H101" s="62" t="s">
        <v>1486</v>
      </c>
      <c r="I101" s="62" t="s">
        <v>1420</v>
      </c>
      <c r="J101" s="62" t="s">
        <v>1420</v>
      </c>
      <c r="K101" s="62" t="s">
        <v>1420</v>
      </c>
      <c r="L101" s="63" t="s">
        <v>1420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6C447-3E99-2F40-931D-D28995D7346C}">
  <sheetPr>
    <tabColor rgb="FF92D050"/>
  </sheetPr>
  <dimension ref="A1:D152"/>
  <sheetViews>
    <sheetView workbookViewId="0">
      <selection activeCell="B19" sqref="B19"/>
    </sheetView>
  </sheetViews>
  <sheetFormatPr defaultColWidth="11" defaultRowHeight="15.75"/>
  <cols>
    <col min="1" max="1" width="41.3125" customWidth="1"/>
    <col min="2" max="2" width="53.5" customWidth="1"/>
    <col min="3" max="3" width="59" customWidth="1"/>
    <col min="4" max="4" width="23.5" customWidth="1"/>
  </cols>
  <sheetData>
    <row r="1" spans="1:4">
      <c r="A1" s="28" t="s">
        <v>581</v>
      </c>
      <c r="B1" s="28" t="s">
        <v>583</v>
      </c>
      <c r="C1" s="28" t="s">
        <v>582</v>
      </c>
    </row>
    <row r="2" spans="1:4">
      <c r="A2" s="7" t="s">
        <v>1487</v>
      </c>
      <c r="B2" s="27" t="s">
        <v>600</v>
      </c>
      <c r="C2" s="7"/>
    </row>
    <row r="3" spans="1:4">
      <c r="A3" s="7" t="s">
        <v>1488</v>
      </c>
      <c r="B3" s="7"/>
      <c r="C3" s="7" t="s">
        <v>601</v>
      </c>
    </row>
    <row r="4" spans="1:4">
      <c r="A4" s="22" t="s">
        <v>1434</v>
      </c>
      <c r="B4" s="22" t="s">
        <v>587</v>
      </c>
      <c r="C4" s="7"/>
    </row>
    <row r="5" spans="1:4">
      <c r="A5" s="21" t="s">
        <v>1489</v>
      </c>
      <c r="B5" s="21" t="s">
        <v>600</v>
      </c>
      <c r="C5" s="21" t="s">
        <v>600</v>
      </c>
    </row>
    <row r="6" spans="1:4">
      <c r="A6" s="7" t="s">
        <v>1490</v>
      </c>
      <c r="B6" s="7"/>
      <c r="C6" s="7"/>
    </row>
    <row r="7" spans="1:4">
      <c r="A7" s="7" t="s">
        <v>1184</v>
      </c>
      <c r="B7" s="7"/>
      <c r="C7" s="7"/>
    </row>
    <row r="8" spans="1:4">
      <c r="A8" s="7" t="s">
        <v>1444</v>
      </c>
      <c r="B8" s="7"/>
      <c r="C8" s="7"/>
    </row>
    <row r="9" spans="1:4">
      <c r="A9" s="21" t="s">
        <v>1458</v>
      </c>
      <c r="B9" s="21" t="s">
        <v>600</v>
      </c>
      <c r="C9" s="21" t="s">
        <v>600</v>
      </c>
      <c r="D9" s="20"/>
    </row>
    <row r="10" spans="1:4">
      <c r="A10" s="21" t="s">
        <v>1491</v>
      </c>
      <c r="B10" s="21" t="s">
        <v>600</v>
      </c>
      <c r="C10" s="21" t="s">
        <v>600</v>
      </c>
      <c r="D10" s="20"/>
    </row>
    <row r="11" spans="1:4">
      <c r="A11" s="7" t="s">
        <v>1355</v>
      </c>
      <c r="B11" s="7"/>
      <c r="C11" s="7"/>
      <c r="D11" s="20"/>
    </row>
    <row r="12" spans="1:4">
      <c r="A12" s="7" t="s">
        <v>1492</v>
      </c>
      <c r="B12" s="21" t="s">
        <v>600</v>
      </c>
      <c r="C12" s="21" t="s">
        <v>600</v>
      </c>
      <c r="D12" s="20"/>
    </row>
    <row r="13" spans="1:4">
      <c r="A13" s="7" t="s">
        <v>1493</v>
      </c>
      <c r="B13" s="21" t="s">
        <v>600</v>
      </c>
      <c r="C13" s="7" t="s">
        <v>602</v>
      </c>
      <c r="D13" s="20"/>
    </row>
    <row r="14" spans="1:4">
      <c r="A14" s="7" t="s">
        <v>1494</v>
      </c>
      <c r="B14" s="7" t="s">
        <v>588</v>
      </c>
      <c r="C14" s="7" t="s">
        <v>589</v>
      </c>
      <c r="D14" s="20"/>
    </row>
    <row r="15" spans="1:4">
      <c r="A15" s="7" t="s">
        <v>1185</v>
      </c>
      <c r="B15" s="7" t="s">
        <v>588</v>
      </c>
      <c r="C15" s="7" t="s">
        <v>590</v>
      </c>
      <c r="D15" s="20"/>
    </row>
    <row r="16" spans="1:4">
      <c r="A16" s="22" t="s">
        <v>1495</v>
      </c>
      <c r="B16" s="22" t="s">
        <v>591</v>
      </c>
      <c r="C16" s="22" t="s">
        <v>592</v>
      </c>
    </row>
    <row r="17" spans="1:4">
      <c r="A17" s="21" t="s">
        <v>1496</v>
      </c>
      <c r="B17" s="21" t="s">
        <v>600</v>
      </c>
      <c r="C17" s="21" t="s">
        <v>600</v>
      </c>
    </row>
    <row r="18" spans="1:4">
      <c r="A18" s="7" t="s">
        <v>1497</v>
      </c>
      <c r="B18" s="22" t="s">
        <v>603</v>
      </c>
      <c r="C18" s="7" t="s">
        <v>604</v>
      </c>
    </row>
    <row r="19" spans="1:4">
      <c r="A19" s="7" t="s">
        <v>1438</v>
      </c>
      <c r="B19" s="7" t="s">
        <v>588</v>
      </c>
      <c r="C19" s="7" t="s">
        <v>590</v>
      </c>
    </row>
    <row r="20" spans="1:4">
      <c r="A20" s="7" t="s">
        <v>1498</v>
      </c>
      <c r="B20" s="7"/>
      <c r="C20" s="7" t="s">
        <v>604</v>
      </c>
    </row>
    <row r="21" spans="1:4">
      <c r="A21" s="7" t="s">
        <v>1425</v>
      </c>
      <c r="B21" s="7" t="s">
        <v>605</v>
      </c>
      <c r="C21" s="7" t="s">
        <v>606</v>
      </c>
    </row>
    <row r="22" spans="1:4">
      <c r="A22" s="22" t="s">
        <v>1499</v>
      </c>
      <c r="B22" s="22" t="s">
        <v>603</v>
      </c>
      <c r="C22" s="7" t="s">
        <v>604</v>
      </c>
    </row>
    <row r="23" spans="1:4">
      <c r="A23" s="22" t="s">
        <v>1500</v>
      </c>
      <c r="B23" s="22" t="s">
        <v>607</v>
      </c>
      <c r="C23" s="22" t="s">
        <v>608</v>
      </c>
    </row>
    <row r="24" spans="1:4">
      <c r="A24" s="7" t="s">
        <v>1349</v>
      </c>
      <c r="B24" s="7"/>
      <c r="C24" s="7" t="s">
        <v>604</v>
      </c>
    </row>
    <row r="25" spans="1:4">
      <c r="A25" s="7" t="s">
        <v>1501</v>
      </c>
      <c r="B25" s="7" t="s">
        <v>588</v>
      </c>
      <c r="C25" s="22" t="s">
        <v>609</v>
      </c>
      <c r="D25" s="20"/>
    </row>
    <row r="26" spans="1:4">
      <c r="A26" s="7" t="s">
        <v>26</v>
      </c>
      <c r="B26" s="7"/>
      <c r="C26" s="7"/>
    </row>
    <row r="27" spans="1:4">
      <c r="A27" s="7" t="s">
        <v>1439</v>
      </c>
      <c r="B27" s="22" t="s">
        <v>610</v>
      </c>
      <c r="C27" s="7" t="s">
        <v>611</v>
      </c>
    </row>
    <row r="28" spans="1:4">
      <c r="A28" s="7" t="s">
        <v>1502</v>
      </c>
      <c r="B28" s="7" t="s">
        <v>597</v>
      </c>
      <c r="C28" s="7"/>
    </row>
    <row r="29" spans="1:4">
      <c r="A29" s="21" t="s">
        <v>1503</v>
      </c>
      <c r="B29" s="21" t="s">
        <v>600</v>
      </c>
      <c r="C29" s="7"/>
    </row>
    <row r="30" spans="1:4">
      <c r="A30" s="7" t="s">
        <v>1504</v>
      </c>
      <c r="B30" s="7"/>
      <c r="C30" s="7"/>
    </row>
    <row r="31" spans="1:4">
      <c r="A31" s="7" t="s">
        <v>1505</v>
      </c>
      <c r="B31" s="7"/>
      <c r="C31" s="7"/>
    </row>
    <row r="32" spans="1:4">
      <c r="A32" s="22" t="s">
        <v>1286</v>
      </c>
      <c r="B32" s="22" t="s">
        <v>612</v>
      </c>
      <c r="C32" s="7"/>
    </row>
    <row r="33" spans="1:3">
      <c r="A33" s="7" t="s">
        <v>1506</v>
      </c>
      <c r="B33" s="7"/>
      <c r="C33" s="7"/>
    </row>
    <row r="34" spans="1:3">
      <c r="A34" s="21" t="s">
        <v>1334</v>
      </c>
      <c r="B34" s="21" t="s">
        <v>600</v>
      </c>
      <c r="C34" s="21"/>
    </row>
    <row r="35" spans="1:3">
      <c r="A35" s="7" t="s">
        <v>1507</v>
      </c>
      <c r="B35" s="7"/>
      <c r="C35" s="7"/>
    </row>
    <row r="36" spans="1:3">
      <c r="A36" s="7" t="s">
        <v>1508</v>
      </c>
      <c r="B36" s="7"/>
      <c r="C36" s="7"/>
    </row>
    <row r="37" spans="1:3">
      <c r="A37" s="22" t="s">
        <v>1509</v>
      </c>
      <c r="B37" s="22" t="s">
        <v>588</v>
      </c>
      <c r="C37" s="22" t="s">
        <v>590</v>
      </c>
    </row>
    <row r="38" spans="1:3">
      <c r="A38" s="7" t="s">
        <v>1510</v>
      </c>
      <c r="B38" s="7"/>
      <c r="C38" s="7"/>
    </row>
    <row r="39" spans="1:3">
      <c r="A39" s="22" t="s">
        <v>1289</v>
      </c>
      <c r="B39" s="22" t="s">
        <v>612</v>
      </c>
      <c r="C39" s="7"/>
    </row>
    <row r="40" spans="1:3">
      <c r="A40" s="7" t="s">
        <v>1511</v>
      </c>
      <c r="B40" s="7"/>
      <c r="C40" s="7"/>
    </row>
    <row r="41" spans="1:3">
      <c r="A41" s="7" t="s">
        <v>37</v>
      </c>
      <c r="B41" s="7"/>
      <c r="C41" s="7"/>
    </row>
    <row r="42" spans="1:3">
      <c r="A42" s="22" t="s">
        <v>1512</v>
      </c>
      <c r="B42" s="7"/>
      <c r="C42" s="22" t="s">
        <v>584</v>
      </c>
    </row>
    <row r="43" spans="1:3">
      <c r="A43" s="22" t="s">
        <v>1293</v>
      </c>
      <c r="B43" s="22" t="s">
        <v>613</v>
      </c>
      <c r="C43" s="22" t="s">
        <v>614</v>
      </c>
    </row>
    <row r="44" spans="1:3">
      <c r="A44" s="7" t="s">
        <v>1513</v>
      </c>
      <c r="B44" s="7"/>
      <c r="C44" s="7"/>
    </row>
    <row r="45" spans="1:3">
      <c r="A45" s="7" t="s">
        <v>1514</v>
      </c>
      <c r="B45" s="7"/>
      <c r="C45" s="7"/>
    </row>
    <row r="46" spans="1:3">
      <c r="A46" s="7" t="s">
        <v>1515</v>
      </c>
      <c r="B46" s="7"/>
      <c r="C46" s="7"/>
    </row>
    <row r="47" spans="1:3">
      <c r="A47" s="7" t="s">
        <v>1516</v>
      </c>
      <c r="B47" s="7"/>
      <c r="C47" s="7"/>
    </row>
    <row r="48" spans="1:3">
      <c r="A48" s="7" t="s">
        <v>1517</v>
      </c>
      <c r="B48" s="7"/>
      <c r="C48" s="7"/>
    </row>
    <row r="49" spans="1:3">
      <c r="A49" s="7" t="s">
        <v>1518</v>
      </c>
      <c r="B49" s="7"/>
      <c r="C49" s="7"/>
    </row>
    <row r="50" spans="1:3">
      <c r="A50" s="7" t="s">
        <v>1519</v>
      </c>
      <c r="B50" s="7"/>
      <c r="C50" s="7"/>
    </row>
    <row r="51" spans="1:3">
      <c r="A51" s="7" t="s">
        <v>1520</v>
      </c>
      <c r="B51" s="7"/>
      <c r="C51" s="7"/>
    </row>
    <row r="52" spans="1:3">
      <c r="A52" s="22" t="s">
        <v>1521</v>
      </c>
      <c r="B52" s="22" t="s">
        <v>615</v>
      </c>
      <c r="C52" s="22" t="s">
        <v>604</v>
      </c>
    </row>
    <row r="53" spans="1:3">
      <c r="A53" s="21" t="s">
        <v>43</v>
      </c>
      <c r="B53" s="21" t="s">
        <v>600</v>
      </c>
      <c r="C53" s="21" t="s">
        <v>600</v>
      </c>
    </row>
    <row r="54" spans="1:3">
      <c r="A54" s="22" t="s">
        <v>1376</v>
      </c>
      <c r="B54" s="22" t="s">
        <v>587</v>
      </c>
      <c r="C54" s="7"/>
    </row>
    <row r="55" spans="1:3">
      <c r="A55" s="22" t="s">
        <v>1522</v>
      </c>
      <c r="B55" s="22" t="s">
        <v>607</v>
      </c>
      <c r="C55" s="22" t="s">
        <v>604</v>
      </c>
    </row>
    <row r="56" spans="1:3">
      <c r="A56" s="7" t="s">
        <v>1523</v>
      </c>
      <c r="B56" s="7"/>
      <c r="C56" s="22" t="s">
        <v>604</v>
      </c>
    </row>
    <row r="57" spans="1:3">
      <c r="A57" s="7" t="s">
        <v>45</v>
      </c>
      <c r="B57" s="7"/>
      <c r="C57" s="7"/>
    </row>
    <row r="58" spans="1:3">
      <c r="A58" s="7" t="s">
        <v>50</v>
      </c>
      <c r="B58" s="7" t="s">
        <v>597</v>
      </c>
      <c r="C58" s="7"/>
    </row>
    <row r="59" spans="1:3">
      <c r="A59" s="22" t="s">
        <v>1524</v>
      </c>
      <c r="B59" s="22" t="s">
        <v>616</v>
      </c>
      <c r="C59" s="7"/>
    </row>
    <row r="60" spans="1:3">
      <c r="A60" s="7" t="s">
        <v>52</v>
      </c>
      <c r="B60" s="7"/>
      <c r="C60" s="7" t="s">
        <v>604</v>
      </c>
    </row>
    <row r="61" spans="1:3">
      <c r="A61" s="7" t="s">
        <v>1525</v>
      </c>
      <c r="B61" s="7"/>
      <c r="C61" s="7"/>
    </row>
    <row r="62" spans="1:3">
      <c r="A62" s="7" t="s">
        <v>1526</v>
      </c>
      <c r="B62" s="7"/>
      <c r="C62" s="7"/>
    </row>
    <row r="63" spans="1:3">
      <c r="A63" s="21" t="s">
        <v>1459</v>
      </c>
      <c r="B63" s="21" t="s">
        <v>600</v>
      </c>
      <c r="C63" s="21" t="s">
        <v>600</v>
      </c>
    </row>
    <row r="64" spans="1:3">
      <c r="A64" s="21" t="s">
        <v>1459</v>
      </c>
      <c r="B64" s="21" t="s">
        <v>600</v>
      </c>
      <c r="C64" s="21" t="s">
        <v>600</v>
      </c>
    </row>
    <row r="65" spans="1:3">
      <c r="A65" s="22" t="s">
        <v>1361</v>
      </c>
      <c r="B65" s="22" t="s">
        <v>617</v>
      </c>
      <c r="C65" s="7"/>
    </row>
    <row r="66" spans="1:3">
      <c r="A66" s="21" t="s">
        <v>55</v>
      </c>
      <c r="B66" s="21" t="s">
        <v>600</v>
      </c>
      <c r="C66" s="21" t="s">
        <v>600</v>
      </c>
    </row>
    <row r="67" spans="1:3">
      <c r="A67" s="7" t="s">
        <v>1527</v>
      </c>
      <c r="B67" s="7"/>
      <c r="C67" s="7"/>
    </row>
    <row r="68" spans="1:3">
      <c r="A68" s="7" t="s">
        <v>1528</v>
      </c>
      <c r="B68" s="22" t="s">
        <v>603</v>
      </c>
      <c r="C68" s="7" t="s">
        <v>604</v>
      </c>
    </row>
    <row r="69" spans="1:3">
      <c r="A69" s="21" t="s">
        <v>1529</v>
      </c>
      <c r="B69" s="21" t="s">
        <v>600</v>
      </c>
      <c r="C69" s="7"/>
    </row>
    <row r="70" spans="1:3">
      <c r="A70" s="22" t="s">
        <v>1530</v>
      </c>
      <c r="B70" s="22" t="s">
        <v>603</v>
      </c>
      <c r="C70" s="22" t="s">
        <v>604</v>
      </c>
    </row>
    <row r="71" spans="1:3">
      <c r="A71" s="22" t="s">
        <v>1531</v>
      </c>
      <c r="B71" s="22" t="s">
        <v>603</v>
      </c>
      <c r="C71" s="22" t="s">
        <v>604</v>
      </c>
    </row>
    <row r="72" spans="1:3">
      <c r="A72" s="7" t="s">
        <v>1532</v>
      </c>
      <c r="B72" s="7"/>
      <c r="C72" s="7"/>
    </row>
    <row r="73" spans="1:3">
      <c r="A73" s="22" t="s">
        <v>1533</v>
      </c>
      <c r="B73" s="7"/>
      <c r="C73" s="22" t="s">
        <v>618</v>
      </c>
    </row>
    <row r="74" spans="1:3">
      <c r="A74" s="22" t="s">
        <v>1534</v>
      </c>
      <c r="B74" s="7"/>
      <c r="C74" s="22" t="s">
        <v>618</v>
      </c>
    </row>
    <row r="75" spans="1:3">
      <c r="A75" s="22" t="s">
        <v>1535</v>
      </c>
      <c r="B75" s="22" t="s">
        <v>588</v>
      </c>
      <c r="C75" s="22" t="s">
        <v>590</v>
      </c>
    </row>
    <row r="76" spans="1:3">
      <c r="A76" s="22" t="s">
        <v>1536</v>
      </c>
      <c r="B76" s="22" t="s">
        <v>619</v>
      </c>
      <c r="C76" s="22" t="s">
        <v>620</v>
      </c>
    </row>
    <row r="77" spans="1:3">
      <c r="A77" s="7" t="s">
        <v>1537</v>
      </c>
      <c r="B77" s="7"/>
      <c r="C77" s="7"/>
    </row>
    <row r="78" spans="1:3">
      <c r="A78" s="21" t="s">
        <v>1538</v>
      </c>
      <c r="B78" s="21" t="s">
        <v>600</v>
      </c>
      <c r="C78" s="21" t="s">
        <v>600</v>
      </c>
    </row>
    <row r="79" spans="1:3">
      <c r="A79" s="21" t="s">
        <v>1539</v>
      </c>
      <c r="B79" s="21" t="s">
        <v>600</v>
      </c>
      <c r="C79" s="7"/>
    </row>
    <row r="80" spans="1:3">
      <c r="A80" s="7" t="s">
        <v>1540</v>
      </c>
      <c r="B80" s="7"/>
      <c r="C80" s="7"/>
    </row>
    <row r="81" spans="1:3">
      <c r="A81" s="22" t="s">
        <v>1541</v>
      </c>
      <c r="B81" s="22" t="s">
        <v>621</v>
      </c>
      <c r="C81" s="7"/>
    </row>
    <row r="82" spans="1:3">
      <c r="A82" s="7" t="s">
        <v>67</v>
      </c>
      <c r="B82" s="7"/>
      <c r="C82" s="7"/>
    </row>
    <row r="83" spans="1:3">
      <c r="A83" s="22" t="s">
        <v>1443</v>
      </c>
      <c r="B83" s="22" t="s">
        <v>622</v>
      </c>
      <c r="C83" s="22" t="s">
        <v>623</v>
      </c>
    </row>
    <row r="84" spans="1:3">
      <c r="A84" s="22" t="s">
        <v>1542</v>
      </c>
      <c r="B84" s="22" t="s">
        <v>624</v>
      </c>
      <c r="C84" s="22" t="s">
        <v>623</v>
      </c>
    </row>
    <row r="85" spans="1:3">
      <c r="A85" s="7" t="s">
        <v>1336</v>
      </c>
      <c r="B85" s="7"/>
      <c r="C85" s="7"/>
    </row>
    <row r="86" spans="1:3">
      <c r="A86" s="7" t="s">
        <v>1543</v>
      </c>
      <c r="B86" s="7"/>
      <c r="C86" s="7"/>
    </row>
    <row r="87" spans="1:3">
      <c r="A87" s="7" t="s">
        <v>1544</v>
      </c>
      <c r="B87" s="7"/>
      <c r="C87" s="7"/>
    </row>
    <row r="88" spans="1:3">
      <c r="A88" s="22" t="s">
        <v>1337</v>
      </c>
      <c r="B88" s="22" t="s">
        <v>587</v>
      </c>
      <c r="C88" s="7"/>
    </row>
    <row r="89" spans="1:3">
      <c r="A89" s="7" t="s">
        <v>1545</v>
      </c>
      <c r="B89" s="7"/>
      <c r="C89" s="7"/>
    </row>
    <row r="90" spans="1:3">
      <c r="A90" s="21" t="s">
        <v>1546</v>
      </c>
      <c r="B90" s="21" t="s">
        <v>600</v>
      </c>
      <c r="C90" s="22" t="s">
        <v>604</v>
      </c>
    </row>
    <row r="91" spans="1:3">
      <c r="A91" s="7" t="s">
        <v>1547</v>
      </c>
      <c r="B91" s="7"/>
      <c r="C91" s="7"/>
    </row>
    <row r="92" spans="1:3">
      <c r="A92" s="7" t="s">
        <v>1548</v>
      </c>
      <c r="B92" s="7"/>
      <c r="C92" s="7"/>
    </row>
    <row r="93" spans="1:3">
      <c r="A93" s="21" t="s">
        <v>1549</v>
      </c>
      <c r="B93" s="21" t="s">
        <v>600</v>
      </c>
      <c r="C93" s="22" t="s">
        <v>604</v>
      </c>
    </row>
    <row r="94" spans="1:3">
      <c r="A94" s="7" t="s">
        <v>1550</v>
      </c>
      <c r="B94" s="7"/>
      <c r="C94" s="7"/>
    </row>
    <row r="95" spans="1:3">
      <c r="A95" s="7" t="s">
        <v>1551</v>
      </c>
      <c r="B95" s="7"/>
      <c r="C95" s="7"/>
    </row>
    <row r="96" spans="1:3">
      <c r="A96" s="7" t="s">
        <v>1552</v>
      </c>
      <c r="B96" s="7"/>
      <c r="C96" s="7"/>
    </row>
    <row r="97" spans="1:3">
      <c r="A97" s="21" t="s">
        <v>1437</v>
      </c>
      <c r="B97" s="21" t="s">
        <v>600</v>
      </c>
      <c r="C97" s="23" t="s">
        <v>600</v>
      </c>
    </row>
    <row r="98" spans="1:3">
      <c r="A98" s="26" t="s">
        <v>1553</v>
      </c>
      <c r="B98" s="24" t="s">
        <v>603</v>
      </c>
    </row>
    <row r="99" spans="1:3">
      <c r="A99" s="26" t="s">
        <v>1392</v>
      </c>
      <c r="B99" s="22" t="s">
        <v>603</v>
      </c>
      <c r="C99" s="22" t="s">
        <v>604</v>
      </c>
    </row>
    <row r="100" spans="1:3">
      <c r="A100" s="19" t="s">
        <v>1554</v>
      </c>
      <c r="B100" s="7"/>
      <c r="C100" s="7"/>
    </row>
    <row r="101" spans="1:3">
      <c r="A101" s="26" t="s">
        <v>74</v>
      </c>
      <c r="B101" s="7"/>
      <c r="C101" s="22" t="s">
        <v>625</v>
      </c>
    </row>
    <row r="102" spans="1:3">
      <c r="A102" s="7" t="s">
        <v>1372</v>
      </c>
      <c r="B102" s="7"/>
      <c r="C102" s="7"/>
    </row>
    <row r="103" spans="1:3">
      <c r="A103" s="7" t="s">
        <v>1555</v>
      </c>
      <c r="B103" s="7"/>
      <c r="C103" s="7"/>
    </row>
    <row r="104" spans="1:3">
      <c r="A104" s="22" t="s">
        <v>1556</v>
      </c>
      <c r="B104" s="7"/>
      <c r="C104" s="22" t="s">
        <v>626</v>
      </c>
    </row>
    <row r="105" spans="1:3">
      <c r="A105" s="22" t="s">
        <v>1557</v>
      </c>
      <c r="B105" s="22" t="s">
        <v>603</v>
      </c>
      <c r="C105" s="7"/>
    </row>
    <row r="106" spans="1:3">
      <c r="A106" s="7" t="s">
        <v>1558</v>
      </c>
      <c r="B106" s="7"/>
      <c r="C106" s="22" t="s">
        <v>604</v>
      </c>
    </row>
    <row r="107" spans="1:3">
      <c r="A107" s="7" t="s">
        <v>1559</v>
      </c>
      <c r="B107" s="7"/>
      <c r="C107" s="7"/>
    </row>
    <row r="108" spans="1:3">
      <c r="A108" s="7" t="s">
        <v>1560</v>
      </c>
      <c r="B108" s="7"/>
      <c r="C108" s="7"/>
    </row>
    <row r="109" spans="1:3">
      <c r="A109" s="21" t="s">
        <v>1302</v>
      </c>
      <c r="B109" s="21" t="s">
        <v>600</v>
      </c>
      <c r="C109" s="22" t="s">
        <v>586</v>
      </c>
    </row>
    <row r="110" spans="1:3">
      <c r="A110" s="21" t="s">
        <v>76</v>
      </c>
      <c r="B110" s="21" t="s">
        <v>600</v>
      </c>
      <c r="C110" s="21" t="s">
        <v>585</v>
      </c>
    </row>
    <row r="111" spans="1:3">
      <c r="A111" s="7" t="s">
        <v>1561</v>
      </c>
      <c r="B111" s="7"/>
      <c r="C111" s="7"/>
    </row>
    <row r="112" spans="1:3">
      <c r="A112" s="21" t="s">
        <v>1441</v>
      </c>
      <c r="B112" s="21" t="s">
        <v>600</v>
      </c>
      <c r="C112" s="7"/>
    </row>
    <row r="113" spans="1:3">
      <c r="A113" s="7" t="s">
        <v>1562</v>
      </c>
      <c r="B113" s="7"/>
      <c r="C113" s="7"/>
    </row>
    <row r="114" spans="1:3">
      <c r="A114" s="26" t="s">
        <v>1563</v>
      </c>
      <c r="B114" s="22" t="s">
        <v>596</v>
      </c>
      <c r="C114" s="22" t="s">
        <v>599</v>
      </c>
    </row>
    <row r="115" spans="1:3">
      <c r="A115" s="7" t="s">
        <v>1564</v>
      </c>
      <c r="B115" s="7"/>
      <c r="C115" s="7"/>
    </row>
    <row r="116" spans="1:3">
      <c r="A116" s="7" t="s">
        <v>1565</v>
      </c>
      <c r="B116" s="7"/>
      <c r="C116" s="7"/>
    </row>
    <row r="117" spans="1:3">
      <c r="A117" s="7" t="s">
        <v>1566</v>
      </c>
      <c r="B117" s="7"/>
      <c r="C117" s="7" t="s">
        <v>598</v>
      </c>
    </row>
    <row r="118" spans="1:3">
      <c r="A118" s="7" t="s">
        <v>1567</v>
      </c>
      <c r="B118" s="7"/>
      <c r="C118" s="7" t="s">
        <v>598</v>
      </c>
    </row>
    <row r="119" spans="1:3">
      <c r="A119" s="7" t="s">
        <v>1568</v>
      </c>
      <c r="B119" s="7"/>
      <c r="C119" s="7"/>
    </row>
    <row r="120" spans="1:3">
      <c r="A120" s="7" t="s">
        <v>1569</v>
      </c>
      <c r="B120" s="7"/>
      <c r="C120" s="7"/>
    </row>
    <row r="121" spans="1:3">
      <c r="A121" s="7" t="s">
        <v>1570</v>
      </c>
      <c r="B121" s="7"/>
      <c r="C121" s="7"/>
    </row>
    <row r="122" spans="1:3">
      <c r="A122" s="21" t="s">
        <v>1448</v>
      </c>
      <c r="B122" s="21" t="s">
        <v>600</v>
      </c>
      <c r="C122" s="21" t="s">
        <v>600</v>
      </c>
    </row>
    <row r="123" spans="1:3">
      <c r="A123" s="7" t="s">
        <v>1461</v>
      </c>
      <c r="B123" s="7" t="s">
        <v>597</v>
      </c>
      <c r="C123" s="7"/>
    </row>
    <row r="124" spans="1:3">
      <c r="A124" s="21" t="s">
        <v>1571</v>
      </c>
      <c r="B124" s="21" t="s">
        <v>600</v>
      </c>
      <c r="C124" s="7"/>
    </row>
    <row r="125" spans="1:3">
      <c r="A125" s="7" t="s">
        <v>1572</v>
      </c>
      <c r="B125" s="7"/>
      <c r="C125" s="7"/>
    </row>
    <row r="126" spans="1:3">
      <c r="A126" s="21" t="s">
        <v>1573</v>
      </c>
      <c r="B126" s="21" t="s">
        <v>600</v>
      </c>
      <c r="C126" s="21" t="s">
        <v>600</v>
      </c>
    </row>
    <row r="127" spans="1:3">
      <c r="A127" s="7" t="s">
        <v>1306</v>
      </c>
      <c r="B127" s="7"/>
      <c r="C127" s="7"/>
    </row>
    <row r="128" spans="1:3">
      <c r="A128" s="7" t="s">
        <v>1384</v>
      </c>
      <c r="B128" s="7"/>
      <c r="C128" s="7"/>
    </row>
    <row r="129" spans="1:3">
      <c r="A129" s="7" t="s">
        <v>1574</v>
      </c>
      <c r="B129" s="7"/>
      <c r="C129" s="7"/>
    </row>
    <row r="130" spans="1:3">
      <c r="A130" s="22" t="s">
        <v>1374</v>
      </c>
      <c r="B130" s="25" t="s">
        <v>594</v>
      </c>
      <c r="C130" s="7"/>
    </row>
    <row r="131" spans="1:3">
      <c r="A131" s="7" t="s">
        <v>1575</v>
      </c>
      <c r="B131" s="7"/>
      <c r="C131" s="7"/>
    </row>
    <row r="132" spans="1:3">
      <c r="A132" s="21" t="s">
        <v>1576</v>
      </c>
      <c r="B132" s="21" t="s">
        <v>600</v>
      </c>
      <c r="C132" s="21" t="s">
        <v>600</v>
      </c>
    </row>
    <row r="133" spans="1:3">
      <c r="A133" s="7" t="s">
        <v>1380</v>
      </c>
      <c r="B133" s="7"/>
      <c r="C133" s="7"/>
    </row>
    <row r="134" spans="1:3">
      <c r="A134" s="7" t="s">
        <v>1577</v>
      </c>
      <c r="B134" s="22" t="s">
        <v>596</v>
      </c>
      <c r="C134" s="7"/>
    </row>
    <row r="135" spans="1:3">
      <c r="A135" s="21" t="s">
        <v>1578</v>
      </c>
      <c r="B135" s="21" t="s">
        <v>600</v>
      </c>
      <c r="C135" s="21" t="s">
        <v>600</v>
      </c>
    </row>
    <row r="136" spans="1:3">
      <c r="A136" s="21" t="s">
        <v>1386</v>
      </c>
      <c r="B136" s="21" t="s">
        <v>600</v>
      </c>
      <c r="C136" s="7"/>
    </row>
    <row r="137" spans="1:3">
      <c r="A137" s="22" t="s">
        <v>1579</v>
      </c>
      <c r="B137" s="24" t="s">
        <v>593</v>
      </c>
      <c r="C137" s="24" t="s">
        <v>593</v>
      </c>
    </row>
    <row r="138" spans="1:3">
      <c r="A138" s="26" t="s">
        <v>1394</v>
      </c>
      <c r="B138" s="22" t="s">
        <v>595</v>
      </c>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D29E3-EC67-6649-AC54-837D77F5BF98}">
  <sheetPr>
    <tabColor rgb="FF92D050"/>
  </sheetPr>
  <dimension ref="A1:I100"/>
  <sheetViews>
    <sheetView topLeftCell="A3" zoomScale="70" zoomScaleNormal="70" workbookViewId="0">
      <selection activeCell="C35" sqref="C35"/>
    </sheetView>
  </sheetViews>
  <sheetFormatPr defaultColWidth="11" defaultRowHeight="15.75"/>
  <cols>
    <col min="1" max="1" width="18" customWidth="1"/>
    <col min="2" max="2" width="34.1875" customWidth="1"/>
    <col min="3" max="3" width="75.8125" customWidth="1"/>
    <col min="4" max="4" width="255.6875" customWidth="1"/>
    <col min="5" max="5" width="46.1875" customWidth="1"/>
    <col min="6" max="6" width="113.8125" customWidth="1"/>
    <col min="7" max="7" width="24.5" customWidth="1"/>
  </cols>
  <sheetData>
    <row r="1" spans="1:8">
      <c r="B1" s="13" t="s">
        <v>10</v>
      </c>
      <c r="C1" s="13" t="s">
        <v>898</v>
      </c>
      <c r="D1" s="13" t="s">
        <v>12</v>
      </c>
      <c r="E1" s="13" t="s">
        <v>13</v>
      </c>
      <c r="F1" s="13" t="s">
        <v>14</v>
      </c>
      <c r="G1" s="13" t="s">
        <v>15</v>
      </c>
      <c r="H1" s="13" t="s">
        <v>420</v>
      </c>
    </row>
    <row r="3" spans="1:8">
      <c r="A3" s="29" t="s">
        <v>639</v>
      </c>
      <c r="B3" s="7" t="s">
        <v>649</v>
      </c>
      <c r="C3" s="33" t="s">
        <v>899</v>
      </c>
      <c r="D3" s="30" t="s">
        <v>833</v>
      </c>
      <c r="E3" s="7" t="s">
        <v>689</v>
      </c>
      <c r="F3" s="7" t="s">
        <v>832</v>
      </c>
      <c r="G3" s="18" t="s">
        <v>507</v>
      </c>
      <c r="H3">
        <v>1.2</v>
      </c>
    </row>
    <row r="4" spans="1:8">
      <c r="A4" s="7"/>
      <c r="B4" s="7" t="s">
        <v>651</v>
      </c>
      <c r="C4" s="7" t="s">
        <v>834</v>
      </c>
      <c r="D4" s="7" t="s">
        <v>836</v>
      </c>
      <c r="E4" s="7" t="s">
        <v>690</v>
      </c>
      <c r="F4" s="7" t="s">
        <v>835</v>
      </c>
      <c r="G4" s="7" t="s">
        <v>837</v>
      </c>
      <c r="H4">
        <v>1.2</v>
      </c>
    </row>
    <row r="5" spans="1:8">
      <c r="A5" s="7"/>
      <c r="B5" s="7" t="s">
        <v>650</v>
      </c>
      <c r="C5" s="35" t="s">
        <v>838</v>
      </c>
      <c r="D5" s="7" t="s">
        <v>692</v>
      </c>
      <c r="E5" s="7" t="s">
        <v>691</v>
      </c>
      <c r="F5" s="7" t="s">
        <v>839</v>
      </c>
      <c r="G5" s="7" t="s">
        <v>465</v>
      </c>
      <c r="H5">
        <v>1.2</v>
      </c>
    </row>
    <row r="6" spans="1:8">
      <c r="A6" s="7"/>
      <c r="B6" s="7" t="s">
        <v>652</v>
      </c>
      <c r="C6" s="7" t="s">
        <v>815</v>
      </c>
      <c r="D6" s="7" t="s">
        <v>694</v>
      </c>
      <c r="E6" s="7" t="s">
        <v>693</v>
      </c>
      <c r="F6" s="7"/>
    </row>
    <row r="7" spans="1:8">
      <c r="A7" s="7"/>
      <c r="B7" s="7" t="s">
        <v>653</v>
      </c>
      <c r="C7" s="7" t="s">
        <v>841</v>
      </c>
      <c r="D7" s="7" t="s">
        <v>695</v>
      </c>
      <c r="E7" s="7" t="s">
        <v>696</v>
      </c>
      <c r="F7" s="7" t="s">
        <v>843</v>
      </c>
      <c r="G7" s="7" t="s">
        <v>842</v>
      </c>
      <c r="H7">
        <v>1.2</v>
      </c>
    </row>
    <row r="8" spans="1:8">
      <c r="A8" s="7"/>
      <c r="B8" s="7"/>
      <c r="C8" s="7"/>
      <c r="D8" s="7"/>
      <c r="E8" s="7"/>
      <c r="F8" s="7"/>
    </row>
    <row r="9" spans="1:8">
      <c r="A9" s="29" t="s">
        <v>640</v>
      </c>
      <c r="B9" s="29" t="s">
        <v>654</v>
      </c>
      <c r="C9" s="7" t="s">
        <v>831</v>
      </c>
      <c r="D9" s="7" t="s">
        <v>697</v>
      </c>
      <c r="E9" s="7" t="s">
        <v>698</v>
      </c>
      <c r="F9" s="7" t="s">
        <v>832</v>
      </c>
      <c r="G9" s="7" t="s">
        <v>507</v>
      </c>
      <c r="H9">
        <v>1.2</v>
      </c>
    </row>
    <row r="10" spans="1:8">
      <c r="A10" s="7"/>
      <c r="B10" s="7" t="s">
        <v>655</v>
      </c>
      <c r="C10" s="7" t="s">
        <v>844</v>
      </c>
      <c r="D10" s="7" t="s">
        <v>699</v>
      </c>
      <c r="E10" s="7" t="s">
        <v>700</v>
      </c>
      <c r="F10" s="7" t="s">
        <v>845</v>
      </c>
      <c r="G10" s="7" t="s">
        <v>846</v>
      </c>
      <c r="H10">
        <v>1.2</v>
      </c>
    </row>
    <row r="11" spans="1:8">
      <c r="A11" s="7"/>
      <c r="B11" s="7" t="s">
        <v>656</v>
      </c>
      <c r="C11" s="7" t="s">
        <v>847</v>
      </c>
      <c r="D11" s="7" t="s">
        <v>701</v>
      </c>
      <c r="E11" s="7" t="s">
        <v>702</v>
      </c>
      <c r="F11" s="7" t="s">
        <v>848</v>
      </c>
      <c r="G11" s="7" t="s">
        <v>507</v>
      </c>
      <c r="H11">
        <v>1.2</v>
      </c>
    </row>
    <row r="12" spans="1:8">
      <c r="A12" s="7"/>
      <c r="B12" s="7" t="s">
        <v>651</v>
      </c>
      <c r="C12" s="7" t="s">
        <v>834</v>
      </c>
      <c r="D12" s="7" t="s">
        <v>703</v>
      </c>
      <c r="E12" s="7" t="s">
        <v>704</v>
      </c>
      <c r="F12" s="7" t="s">
        <v>835</v>
      </c>
      <c r="G12" t="s">
        <v>837</v>
      </c>
      <c r="H12">
        <v>1.2</v>
      </c>
    </row>
    <row r="13" spans="1:8" ht="16.899999999999999">
      <c r="A13" s="7"/>
      <c r="B13" s="7" t="s">
        <v>657</v>
      </c>
      <c r="C13" s="7" t="s">
        <v>849</v>
      </c>
      <c r="D13" s="7" t="s">
        <v>705</v>
      </c>
      <c r="E13" s="7" t="s">
        <v>706</v>
      </c>
      <c r="F13" s="14" t="s">
        <v>304</v>
      </c>
      <c r="G13" s="7" t="s">
        <v>850</v>
      </c>
      <c r="H13">
        <v>1.2</v>
      </c>
    </row>
    <row r="14" spans="1:8">
      <c r="A14" s="7"/>
      <c r="B14" s="7" t="s">
        <v>813</v>
      </c>
      <c r="C14" s="7" t="s">
        <v>920</v>
      </c>
      <c r="D14" s="7" t="s">
        <v>922</v>
      </c>
      <c r="E14" s="7" t="s">
        <v>923</v>
      </c>
      <c r="F14" s="7" t="s">
        <v>924</v>
      </c>
      <c r="G14" s="7" t="s">
        <v>480</v>
      </c>
      <c r="H14">
        <v>1.2</v>
      </c>
    </row>
    <row r="15" spans="1:8">
      <c r="A15" s="29" t="s">
        <v>641</v>
      </c>
      <c r="B15" s="29" t="s">
        <v>658</v>
      </c>
      <c r="C15" s="7" t="s">
        <v>834</v>
      </c>
      <c r="D15" s="7" t="s">
        <v>707</v>
      </c>
      <c r="E15" s="7" t="s">
        <v>690</v>
      </c>
      <c r="F15" s="7" t="s">
        <v>835</v>
      </c>
      <c r="G15" t="s">
        <v>837</v>
      </c>
      <c r="H15">
        <v>1.2</v>
      </c>
    </row>
    <row r="16" spans="1:8" ht="16.899999999999999">
      <c r="A16" s="7"/>
      <c r="B16" s="7" t="s">
        <v>657</v>
      </c>
      <c r="C16" s="7" t="s">
        <v>849</v>
      </c>
      <c r="D16" s="7" t="s">
        <v>708</v>
      </c>
      <c r="E16" s="7" t="s">
        <v>706</v>
      </c>
      <c r="F16" s="14" t="s">
        <v>304</v>
      </c>
      <c r="G16" s="7" t="s">
        <v>850</v>
      </c>
      <c r="H16">
        <v>1.2</v>
      </c>
    </row>
    <row r="17" spans="1:8">
      <c r="A17" s="7"/>
      <c r="B17" s="7" t="s">
        <v>323</v>
      </c>
      <c r="C17" s="7" t="s">
        <v>851</v>
      </c>
      <c r="D17" s="7" t="s">
        <v>709</v>
      </c>
      <c r="E17" s="7" t="s">
        <v>710</v>
      </c>
      <c r="F17" s="7" t="s">
        <v>180</v>
      </c>
      <c r="G17" s="18" t="s">
        <v>852</v>
      </c>
      <c r="H17">
        <v>1.2</v>
      </c>
    </row>
    <row r="18" spans="1:8">
      <c r="A18" s="7"/>
      <c r="B18" s="7" t="s">
        <v>275</v>
      </c>
      <c r="C18" s="7" t="s">
        <v>838</v>
      </c>
      <c r="D18" s="7" t="s">
        <v>711</v>
      </c>
      <c r="E18" s="7" t="s">
        <v>712</v>
      </c>
      <c r="F18" s="7" t="s">
        <v>839</v>
      </c>
    </row>
    <row r="19" spans="1:8">
      <c r="A19" s="7"/>
      <c r="B19" s="7" t="s">
        <v>276</v>
      </c>
      <c r="C19" s="7" t="s">
        <v>853</v>
      </c>
      <c r="D19" s="7" t="s">
        <v>713</v>
      </c>
      <c r="E19" s="7" t="s">
        <v>714</v>
      </c>
      <c r="F19" s="7" t="s">
        <v>854</v>
      </c>
      <c r="G19" s="7" t="s">
        <v>461</v>
      </c>
      <c r="H19">
        <v>1.2</v>
      </c>
    </row>
    <row r="20" spans="1:8">
      <c r="A20" s="7"/>
      <c r="B20" s="7" t="s">
        <v>659</v>
      </c>
      <c r="C20" s="7" t="s">
        <v>855</v>
      </c>
      <c r="D20" s="7" t="s">
        <v>715</v>
      </c>
      <c r="E20" s="7" t="s">
        <v>716</v>
      </c>
      <c r="F20" s="7" t="s">
        <v>180</v>
      </c>
      <c r="G20" s="7" t="s">
        <v>857</v>
      </c>
      <c r="H20">
        <v>1.2</v>
      </c>
    </row>
    <row r="21" spans="1:8">
      <c r="A21" s="7"/>
      <c r="B21" s="7" t="s">
        <v>660</v>
      </c>
      <c r="C21" s="7" t="s">
        <v>859</v>
      </c>
      <c r="D21" s="7" t="s">
        <v>717</v>
      </c>
      <c r="E21" s="7" t="s">
        <v>718</v>
      </c>
      <c r="F21" s="7" t="s">
        <v>180</v>
      </c>
      <c r="G21" s="7" t="s">
        <v>860</v>
      </c>
      <c r="H21">
        <v>1.2</v>
      </c>
    </row>
    <row r="22" spans="1:8">
      <c r="A22" s="7"/>
      <c r="B22" s="7" t="s">
        <v>661</v>
      </c>
      <c r="C22" s="7" t="s">
        <v>863</v>
      </c>
      <c r="D22" s="7" t="s">
        <v>719</v>
      </c>
      <c r="E22" s="7" t="s">
        <v>720</v>
      </c>
      <c r="F22" s="7" t="s">
        <v>864</v>
      </c>
      <c r="G22" s="7" t="s">
        <v>507</v>
      </c>
      <c r="H22">
        <v>1.5</v>
      </c>
    </row>
    <row r="23" spans="1:8">
      <c r="A23" s="7"/>
      <c r="B23" s="7" t="s">
        <v>866</v>
      </c>
      <c r="C23" s="7" t="s">
        <v>867</v>
      </c>
      <c r="D23" s="33" t="s">
        <v>868</v>
      </c>
      <c r="E23" s="7" t="s">
        <v>869</v>
      </c>
      <c r="F23" s="7" t="s">
        <v>180</v>
      </c>
      <c r="G23" s="7" t="s">
        <v>870</v>
      </c>
      <c r="H23">
        <v>1.1000000000000001</v>
      </c>
    </row>
    <row r="24" spans="1:8">
      <c r="A24" s="7"/>
      <c r="B24" s="7"/>
      <c r="C24" s="7"/>
      <c r="D24" s="33"/>
      <c r="E24" s="7"/>
      <c r="F24" s="7"/>
      <c r="G24" s="7"/>
    </row>
    <row r="25" spans="1:8">
      <c r="A25" s="29" t="s">
        <v>642</v>
      </c>
      <c r="B25" s="29" t="s">
        <v>662</v>
      </c>
      <c r="C25" s="7" t="s">
        <v>831</v>
      </c>
      <c r="D25" s="7" t="s">
        <v>721</v>
      </c>
      <c r="E25" s="7" t="s">
        <v>689</v>
      </c>
      <c r="F25" t="s">
        <v>832</v>
      </c>
      <c r="G25" s="7" t="s">
        <v>507</v>
      </c>
      <c r="H25">
        <v>1.2</v>
      </c>
    </row>
    <row r="26" spans="1:8">
      <c r="A26" s="7"/>
      <c r="B26" s="7" t="s">
        <v>663</v>
      </c>
      <c r="C26" s="7" t="s">
        <v>834</v>
      </c>
      <c r="D26" s="7" t="s">
        <v>722</v>
      </c>
      <c r="E26" s="7" t="s">
        <v>690</v>
      </c>
      <c r="F26" t="s">
        <v>835</v>
      </c>
      <c r="G26" s="34" t="s">
        <v>837</v>
      </c>
      <c r="H26">
        <v>1.2</v>
      </c>
    </row>
    <row r="27" spans="1:8">
      <c r="A27" s="36"/>
      <c r="B27" s="36" t="s">
        <v>664</v>
      </c>
      <c r="C27" s="36" t="s">
        <v>838</v>
      </c>
      <c r="D27" s="36" t="s">
        <v>723</v>
      </c>
      <c r="E27" s="7" t="s">
        <v>691</v>
      </c>
      <c r="F27" t="s">
        <v>839</v>
      </c>
      <c r="G27" s="7" t="s">
        <v>840</v>
      </c>
      <c r="H27">
        <v>1.2</v>
      </c>
    </row>
    <row r="28" spans="1:8">
      <c r="A28" s="7"/>
      <c r="B28" s="7" t="s">
        <v>665</v>
      </c>
      <c r="C28" s="7" t="s">
        <v>871</v>
      </c>
      <c r="D28" s="7" t="s">
        <v>724</v>
      </c>
      <c r="E28" s="7" t="s">
        <v>725</v>
      </c>
      <c r="F28" s="7" t="s">
        <v>180</v>
      </c>
      <c r="G28" s="7" t="s">
        <v>873</v>
      </c>
      <c r="H28">
        <v>1.2</v>
      </c>
    </row>
    <row r="29" spans="1:8" ht="16.899999999999999">
      <c r="A29" s="7"/>
      <c r="B29" s="7" t="s">
        <v>666</v>
      </c>
      <c r="C29" s="7" t="s">
        <v>874</v>
      </c>
      <c r="D29" s="7" t="s">
        <v>726</v>
      </c>
      <c r="E29" s="7" t="s">
        <v>727</v>
      </c>
      <c r="F29" s="14" t="s">
        <v>190</v>
      </c>
      <c r="G29" s="7" t="s">
        <v>846</v>
      </c>
      <c r="H29">
        <v>1.1000000000000001</v>
      </c>
    </row>
    <row r="30" spans="1:8">
      <c r="A30" s="7"/>
      <c r="B30" s="7" t="s">
        <v>667</v>
      </c>
      <c r="C30" s="7" t="s">
        <v>859</v>
      </c>
      <c r="D30" s="7" t="s">
        <v>728</v>
      </c>
      <c r="E30" s="7" t="s">
        <v>718</v>
      </c>
      <c r="F30" s="7" t="s">
        <v>180</v>
      </c>
      <c r="G30" s="7" t="s">
        <v>861</v>
      </c>
      <c r="H30">
        <v>1.2</v>
      </c>
    </row>
    <row r="31" spans="1:8">
      <c r="A31" s="7"/>
      <c r="B31" s="7" t="s">
        <v>668</v>
      </c>
      <c r="C31" s="7" t="s">
        <v>830</v>
      </c>
      <c r="D31" s="7" t="s">
        <v>729</v>
      </c>
      <c r="E31" s="7" t="s">
        <v>730</v>
      </c>
      <c r="G31" s="7"/>
    </row>
    <row r="32" spans="1:8">
      <c r="A32" s="7"/>
      <c r="B32" s="7" t="s">
        <v>669</v>
      </c>
      <c r="C32" s="7" t="s">
        <v>875</v>
      </c>
      <c r="D32" s="7" t="s">
        <v>782</v>
      </c>
      <c r="E32" s="7" t="s">
        <v>731</v>
      </c>
      <c r="F32" t="s">
        <v>876</v>
      </c>
      <c r="G32" s="7" t="s">
        <v>840</v>
      </c>
      <c r="H32">
        <v>1.2</v>
      </c>
    </row>
    <row r="33" spans="1:9">
      <c r="A33" s="7"/>
      <c r="B33" s="7" t="s">
        <v>670</v>
      </c>
      <c r="C33" s="7" t="s">
        <v>877</v>
      </c>
      <c r="D33" s="7" t="s">
        <v>733</v>
      </c>
      <c r="E33" s="7" t="s">
        <v>732</v>
      </c>
      <c r="F33" s="7" t="s">
        <v>876</v>
      </c>
      <c r="G33" s="7" t="s">
        <v>490</v>
      </c>
      <c r="H33">
        <v>1.2</v>
      </c>
    </row>
    <row r="34" spans="1:9">
      <c r="A34" s="7"/>
      <c r="B34" s="7"/>
      <c r="C34" s="7"/>
      <c r="D34" s="7"/>
      <c r="E34" s="7"/>
      <c r="G34" s="7"/>
    </row>
    <row r="35" spans="1:9">
      <c r="A35" s="29" t="s">
        <v>643</v>
      </c>
      <c r="B35" s="29" t="s">
        <v>663</v>
      </c>
      <c r="C35" s="7" t="s">
        <v>834</v>
      </c>
      <c r="D35" s="7" t="s">
        <v>734</v>
      </c>
      <c r="E35" s="7" t="s">
        <v>690</v>
      </c>
      <c r="F35" t="s">
        <v>835</v>
      </c>
      <c r="G35" s="7" t="s">
        <v>837</v>
      </c>
      <c r="H35">
        <v>1.2</v>
      </c>
    </row>
    <row r="36" spans="1:9">
      <c r="A36" s="7"/>
      <c r="B36" s="7" t="s">
        <v>671</v>
      </c>
      <c r="C36" s="7" t="s">
        <v>878</v>
      </c>
      <c r="D36" s="7" t="s">
        <v>736</v>
      </c>
      <c r="E36" s="7" t="s">
        <v>735</v>
      </c>
      <c r="F36" s="7" t="s">
        <v>180</v>
      </c>
      <c r="G36" s="7" t="s">
        <v>580</v>
      </c>
      <c r="H36">
        <v>1.2</v>
      </c>
    </row>
    <row r="37" spans="1:9">
      <c r="A37" s="7"/>
      <c r="B37" s="7" t="s">
        <v>667</v>
      </c>
      <c r="C37" s="7" t="s">
        <v>859</v>
      </c>
      <c r="D37" s="7" t="s">
        <v>737</v>
      </c>
      <c r="E37" s="7" t="s">
        <v>718</v>
      </c>
      <c r="F37" s="7" t="s">
        <v>180</v>
      </c>
      <c r="G37" s="7" t="s">
        <v>860</v>
      </c>
      <c r="H37">
        <v>1.2</v>
      </c>
    </row>
    <row r="38" spans="1:9">
      <c r="A38" s="7"/>
      <c r="B38" s="7" t="s">
        <v>672</v>
      </c>
      <c r="C38" s="7" t="s">
        <v>862</v>
      </c>
      <c r="D38" s="7" t="s">
        <v>738</v>
      </c>
      <c r="E38" s="7" t="s">
        <v>739</v>
      </c>
      <c r="F38" s="7" t="s">
        <v>865</v>
      </c>
      <c r="G38" s="7" t="s">
        <v>507</v>
      </c>
      <c r="H38">
        <v>1.2</v>
      </c>
    </row>
    <row r="39" spans="1:9">
      <c r="A39" s="7"/>
      <c r="B39" s="7"/>
      <c r="C39" s="7"/>
      <c r="D39" s="7"/>
      <c r="E39" s="7"/>
      <c r="G39" s="7"/>
    </row>
    <row r="40" spans="1:9">
      <c r="A40" s="29" t="s">
        <v>644</v>
      </c>
      <c r="B40" s="29" t="s">
        <v>663</v>
      </c>
      <c r="C40" s="7" t="s">
        <v>834</v>
      </c>
      <c r="D40" s="7" t="s">
        <v>740</v>
      </c>
      <c r="E40" s="7" t="s">
        <v>690</v>
      </c>
      <c r="F40" t="s">
        <v>835</v>
      </c>
      <c r="G40" s="7" t="s">
        <v>837</v>
      </c>
      <c r="H40">
        <v>1.2</v>
      </c>
    </row>
    <row r="41" spans="1:9">
      <c r="A41" s="7"/>
      <c r="B41" s="7" t="s">
        <v>671</v>
      </c>
      <c r="C41" s="7" t="s">
        <v>878</v>
      </c>
      <c r="D41" s="7" t="s">
        <v>741</v>
      </c>
      <c r="E41" s="7" t="s">
        <v>735</v>
      </c>
      <c r="F41" s="7" t="s">
        <v>879</v>
      </c>
      <c r="G41" s="7" t="s">
        <v>880</v>
      </c>
      <c r="H41">
        <v>1.2</v>
      </c>
    </row>
    <row r="42" spans="1:9">
      <c r="A42" s="7"/>
      <c r="B42" s="7" t="s">
        <v>673</v>
      </c>
      <c r="C42" s="7" t="s">
        <v>862</v>
      </c>
      <c r="D42" s="7" t="s">
        <v>742</v>
      </c>
      <c r="E42" s="7" t="s">
        <v>743</v>
      </c>
      <c r="F42" s="7" t="s">
        <v>881</v>
      </c>
      <c r="G42" s="34" t="s">
        <v>507</v>
      </c>
      <c r="H42">
        <v>1.2</v>
      </c>
    </row>
    <row r="43" spans="1:9">
      <c r="A43" s="7"/>
      <c r="B43" s="7" t="s">
        <v>674</v>
      </c>
      <c r="C43" s="7" t="s">
        <v>855</v>
      </c>
      <c r="D43" s="7" t="s">
        <v>744</v>
      </c>
      <c r="E43" s="7" t="s">
        <v>745</v>
      </c>
      <c r="F43" s="7" t="s">
        <v>180</v>
      </c>
      <c r="G43" s="7" t="s">
        <v>856</v>
      </c>
      <c r="H43">
        <v>1.2</v>
      </c>
    </row>
    <row r="44" spans="1:9">
      <c r="A44" s="7"/>
      <c r="B44" s="7" t="s">
        <v>675</v>
      </c>
      <c r="C44" s="7" t="s">
        <v>882</v>
      </c>
      <c r="D44" s="7" t="s">
        <v>746</v>
      </c>
      <c r="E44" s="7" t="s">
        <v>885</v>
      </c>
      <c r="F44" s="7" t="s">
        <v>883</v>
      </c>
      <c r="G44" s="7" t="s">
        <v>437</v>
      </c>
      <c r="H44">
        <v>1.2</v>
      </c>
      <c r="I44" s="7" t="s">
        <v>884</v>
      </c>
    </row>
    <row r="45" spans="1:9">
      <c r="A45" s="7"/>
      <c r="B45" s="7" t="s">
        <v>676</v>
      </c>
      <c r="C45" s="7" t="s">
        <v>886</v>
      </c>
      <c r="D45" s="7" t="s">
        <v>750</v>
      </c>
      <c r="E45" s="7" t="s">
        <v>751</v>
      </c>
      <c r="F45" s="7" t="s">
        <v>887</v>
      </c>
      <c r="G45" s="7" t="s">
        <v>888</v>
      </c>
      <c r="H45">
        <v>1.2</v>
      </c>
    </row>
    <row r="46" spans="1:9">
      <c r="A46" s="7"/>
      <c r="B46" s="7" t="s">
        <v>672</v>
      </c>
      <c r="C46" s="7" t="s">
        <v>862</v>
      </c>
      <c r="D46" s="7" t="s">
        <v>752</v>
      </c>
      <c r="E46" s="7" t="s">
        <v>739</v>
      </c>
      <c r="F46" t="s">
        <v>865</v>
      </c>
      <c r="G46" s="7" t="s">
        <v>507</v>
      </c>
      <c r="H46">
        <v>1.2</v>
      </c>
    </row>
    <row r="47" spans="1:9">
      <c r="A47" s="7"/>
      <c r="B47" s="7" t="s">
        <v>747</v>
      </c>
      <c r="C47" s="7" t="s">
        <v>889</v>
      </c>
      <c r="D47" s="7" t="s">
        <v>748</v>
      </c>
      <c r="E47" s="7" t="s">
        <v>749</v>
      </c>
      <c r="F47" s="7" t="s">
        <v>890</v>
      </c>
      <c r="G47" s="34" t="s">
        <v>480</v>
      </c>
      <c r="H47">
        <v>1.2</v>
      </c>
    </row>
    <row r="48" spans="1:9">
      <c r="A48" s="7"/>
      <c r="B48" s="7"/>
      <c r="C48" s="7"/>
      <c r="D48" s="7"/>
      <c r="E48" s="7"/>
      <c r="G48" s="7"/>
    </row>
    <row r="49" spans="1:8">
      <c r="A49" s="29" t="s">
        <v>645</v>
      </c>
      <c r="B49" s="29" t="s">
        <v>677</v>
      </c>
      <c r="C49" s="7" t="s">
        <v>847</v>
      </c>
      <c r="D49" s="7" t="s">
        <v>753</v>
      </c>
      <c r="E49" s="7" t="s">
        <v>754</v>
      </c>
      <c r="F49" t="s">
        <v>848</v>
      </c>
      <c r="G49" s="7" t="s">
        <v>507</v>
      </c>
      <c r="H49">
        <v>1.2</v>
      </c>
    </row>
    <row r="50" spans="1:8">
      <c r="A50" s="7"/>
      <c r="B50" s="7" t="s">
        <v>678</v>
      </c>
      <c r="C50" s="7" t="s">
        <v>891</v>
      </c>
      <c r="D50" s="7" t="s">
        <v>755</v>
      </c>
      <c r="E50" s="7" t="s">
        <v>416</v>
      </c>
      <c r="F50" s="7" t="s">
        <v>892</v>
      </c>
      <c r="G50" s="7" t="s">
        <v>856</v>
      </c>
      <c r="H50">
        <v>1.2</v>
      </c>
    </row>
    <row r="51" spans="1:8">
      <c r="A51" s="7"/>
      <c r="B51" s="7" t="s">
        <v>663</v>
      </c>
      <c r="C51" s="7" t="s">
        <v>834</v>
      </c>
      <c r="D51" s="7" t="s">
        <v>756</v>
      </c>
      <c r="E51" s="7" t="s">
        <v>690</v>
      </c>
      <c r="F51" t="s">
        <v>835</v>
      </c>
      <c r="G51" s="7" t="s">
        <v>837</v>
      </c>
      <c r="H51">
        <v>1.2</v>
      </c>
    </row>
    <row r="52" spans="1:8">
      <c r="A52" s="7"/>
      <c r="B52" s="7" t="s">
        <v>679</v>
      </c>
      <c r="C52" s="7" t="s">
        <v>893</v>
      </c>
      <c r="D52" s="7" t="s">
        <v>757</v>
      </c>
      <c r="E52" s="7" t="s">
        <v>758</v>
      </c>
      <c r="F52" s="7" t="s">
        <v>180</v>
      </c>
      <c r="G52" s="7" t="s">
        <v>840</v>
      </c>
      <c r="H52">
        <v>3.2</v>
      </c>
    </row>
    <row r="53" spans="1:8">
      <c r="A53" s="7"/>
      <c r="B53" s="7" t="s">
        <v>667</v>
      </c>
      <c r="C53" s="7" t="s">
        <v>859</v>
      </c>
      <c r="D53" s="7" t="s">
        <v>759</v>
      </c>
      <c r="E53" s="7" t="s">
        <v>760</v>
      </c>
      <c r="F53" s="7" t="s">
        <v>180</v>
      </c>
      <c r="G53" s="7" t="s">
        <v>860</v>
      </c>
      <c r="H53">
        <v>1.2</v>
      </c>
    </row>
    <row r="54" spans="1:8">
      <c r="A54" s="7"/>
      <c r="B54" s="7"/>
      <c r="C54" s="7"/>
      <c r="D54" s="7"/>
      <c r="E54" s="7"/>
      <c r="G54" s="7"/>
    </row>
    <row r="55" spans="1:8">
      <c r="A55" s="29" t="s">
        <v>646</v>
      </c>
      <c r="B55" s="29" t="s">
        <v>680</v>
      </c>
      <c r="C55" s="7"/>
      <c r="D55" s="7" t="s">
        <v>761</v>
      </c>
      <c r="E55" s="7" t="s">
        <v>762</v>
      </c>
      <c r="G55" s="7"/>
    </row>
    <row r="56" spans="1:8">
      <c r="A56" s="7"/>
      <c r="B56" s="7" t="s">
        <v>662</v>
      </c>
      <c r="C56" s="7" t="s">
        <v>831</v>
      </c>
      <c r="D56" s="7" t="s">
        <v>763</v>
      </c>
      <c r="E56" s="7" t="s">
        <v>689</v>
      </c>
      <c r="F56" t="s">
        <v>832</v>
      </c>
      <c r="G56" s="7" t="s">
        <v>507</v>
      </c>
      <c r="H56">
        <v>1.2</v>
      </c>
    </row>
    <row r="57" spans="1:8">
      <c r="A57" s="7"/>
      <c r="B57" s="7" t="s">
        <v>663</v>
      </c>
      <c r="C57" s="7" t="s">
        <v>834</v>
      </c>
      <c r="D57" s="7" t="s">
        <v>764</v>
      </c>
      <c r="E57" s="7" t="s">
        <v>690</v>
      </c>
      <c r="F57" t="s">
        <v>835</v>
      </c>
      <c r="G57" s="7" t="s">
        <v>837</v>
      </c>
      <c r="H57">
        <v>1.2</v>
      </c>
    </row>
    <row r="58" spans="1:8">
      <c r="A58" s="7"/>
      <c r="B58" s="7" t="s">
        <v>664</v>
      </c>
      <c r="C58" s="7" t="s">
        <v>838</v>
      </c>
      <c r="D58" s="7" t="s">
        <v>765</v>
      </c>
      <c r="E58" s="7" t="s">
        <v>691</v>
      </c>
      <c r="F58" t="s">
        <v>839</v>
      </c>
      <c r="G58" s="7" t="s">
        <v>840</v>
      </c>
      <c r="H58">
        <v>1.2</v>
      </c>
    </row>
    <row r="59" spans="1:8">
      <c r="A59" s="7"/>
      <c r="B59" s="7" t="s">
        <v>665</v>
      </c>
      <c r="C59" s="7" t="s">
        <v>871</v>
      </c>
      <c r="D59" s="7" t="s">
        <v>766</v>
      </c>
      <c r="E59" s="7" t="s">
        <v>725</v>
      </c>
      <c r="F59" s="7" t="s">
        <v>858</v>
      </c>
      <c r="G59" s="7" t="s">
        <v>872</v>
      </c>
      <c r="H59">
        <v>1.2</v>
      </c>
    </row>
    <row r="60" spans="1:8">
      <c r="A60" s="7"/>
      <c r="B60" s="32" t="s">
        <v>768</v>
      </c>
      <c r="C60" s="7" t="s">
        <v>894</v>
      </c>
      <c r="D60" s="7" t="s">
        <v>767</v>
      </c>
      <c r="E60" s="7" t="s">
        <v>769</v>
      </c>
      <c r="F60" s="7" t="s">
        <v>858</v>
      </c>
      <c r="G60" s="7" t="s">
        <v>895</v>
      </c>
      <c r="H60">
        <v>1.2</v>
      </c>
    </row>
    <row r="61" spans="1:8">
      <c r="A61" s="7"/>
      <c r="B61" s="7" t="s">
        <v>681</v>
      </c>
      <c r="C61" s="7" t="s">
        <v>896</v>
      </c>
      <c r="D61" s="7" t="s">
        <v>771</v>
      </c>
      <c r="E61" s="7" t="s">
        <v>770</v>
      </c>
      <c r="F61" s="7" t="s">
        <v>897</v>
      </c>
      <c r="G61" s="7" t="s">
        <v>850</v>
      </c>
      <c r="H61">
        <v>1.2</v>
      </c>
    </row>
    <row r="62" spans="1:8">
      <c r="A62" s="7"/>
      <c r="B62" s="7" t="s">
        <v>682</v>
      </c>
      <c r="C62" s="7" t="s">
        <v>948</v>
      </c>
      <c r="D62" s="7" t="s">
        <v>772</v>
      </c>
      <c r="E62" s="7" t="s">
        <v>773</v>
      </c>
      <c r="F62" s="7" t="s">
        <v>949</v>
      </c>
      <c r="G62" s="34" t="s">
        <v>461</v>
      </c>
      <c r="H62">
        <v>1.2</v>
      </c>
    </row>
    <row r="63" spans="1:8">
      <c r="A63" s="7"/>
      <c r="B63" s="7" t="s">
        <v>683</v>
      </c>
      <c r="C63" s="7" t="s">
        <v>950</v>
      </c>
      <c r="D63" s="7" t="s">
        <v>774</v>
      </c>
      <c r="E63" s="7" t="s">
        <v>775</v>
      </c>
      <c r="F63" s="7" t="s">
        <v>951</v>
      </c>
      <c r="G63" s="7" t="s">
        <v>952</v>
      </c>
      <c r="H63">
        <v>1.2</v>
      </c>
    </row>
    <row r="64" spans="1:8">
      <c r="A64" s="7"/>
      <c r="B64" s="7" t="s">
        <v>674</v>
      </c>
      <c r="C64" s="7" t="s">
        <v>855</v>
      </c>
      <c r="D64" s="7" t="s">
        <v>776</v>
      </c>
      <c r="E64" s="7" t="s">
        <v>777</v>
      </c>
      <c r="F64" t="s">
        <v>858</v>
      </c>
      <c r="G64" s="7" t="s">
        <v>856</v>
      </c>
      <c r="H64">
        <v>1.2</v>
      </c>
    </row>
    <row r="65" spans="1:8">
      <c r="A65" s="7"/>
      <c r="B65" s="7" t="s">
        <v>667</v>
      </c>
      <c r="C65" s="7" t="s">
        <v>859</v>
      </c>
      <c r="D65" s="7" t="s">
        <v>778</v>
      </c>
      <c r="E65" s="7" t="s">
        <v>760</v>
      </c>
      <c r="F65" s="7" t="s">
        <v>858</v>
      </c>
      <c r="G65" s="7"/>
    </row>
    <row r="66" spans="1:8">
      <c r="A66" s="7"/>
      <c r="B66" s="7" t="s">
        <v>684</v>
      </c>
      <c r="C66" s="7" t="s">
        <v>953</v>
      </c>
      <c r="D66" s="7" t="s">
        <v>779</v>
      </c>
      <c r="E66" s="7" t="s">
        <v>780</v>
      </c>
      <c r="F66" s="7" t="s">
        <v>954</v>
      </c>
      <c r="G66" s="7" t="s">
        <v>490</v>
      </c>
      <c r="H66">
        <v>1.2</v>
      </c>
    </row>
    <row r="67" spans="1:8">
      <c r="A67" s="7"/>
      <c r="B67" s="7" t="s">
        <v>669</v>
      </c>
      <c r="C67" s="7" t="s">
        <v>875</v>
      </c>
      <c r="D67" s="7" t="s">
        <v>781</v>
      </c>
      <c r="E67" s="7" t="s">
        <v>731</v>
      </c>
      <c r="F67" t="s">
        <v>876</v>
      </c>
      <c r="G67" s="7" t="s">
        <v>840</v>
      </c>
      <c r="H67">
        <v>1.2</v>
      </c>
    </row>
    <row r="68" spans="1:8">
      <c r="A68" s="7"/>
      <c r="B68" s="7" t="s">
        <v>685</v>
      </c>
      <c r="C68" s="7" t="s">
        <v>918</v>
      </c>
      <c r="D68" s="7" t="s">
        <v>783</v>
      </c>
      <c r="E68" s="7" t="s">
        <v>784</v>
      </c>
      <c r="G68" s="7"/>
    </row>
    <row r="69" spans="1:8">
      <c r="A69" s="7"/>
      <c r="B69" s="7" t="s">
        <v>670</v>
      </c>
      <c r="C69" s="7" t="s">
        <v>877</v>
      </c>
      <c r="D69" s="7" t="s">
        <v>785</v>
      </c>
      <c r="E69" s="7" t="s">
        <v>732</v>
      </c>
      <c r="F69" s="7" t="s">
        <v>876</v>
      </c>
      <c r="G69" s="7" t="s">
        <v>490</v>
      </c>
      <c r="H69">
        <v>1.2</v>
      </c>
    </row>
    <row r="70" spans="1:8">
      <c r="A70" s="7"/>
      <c r="B70" s="7"/>
      <c r="C70" s="7"/>
      <c r="D70" s="7"/>
      <c r="E70" s="7"/>
      <c r="G70" s="7"/>
    </row>
    <row r="71" spans="1:8">
      <c r="A71" s="29" t="s">
        <v>647</v>
      </c>
      <c r="B71" s="29" t="s">
        <v>663</v>
      </c>
      <c r="C71" s="7" t="s">
        <v>834</v>
      </c>
      <c r="D71" s="7" t="s">
        <v>786</v>
      </c>
      <c r="E71" s="7" t="s">
        <v>690</v>
      </c>
      <c r="F71" t="s">
        <v>835</v>
      </c>
      <c r="G71" s="7" t="s">
        <v>837</v>
      </c>
      <c r="H71">
        <v>1.2</v>
      </c>
    </row>
    <row r="72" spans="1:8">
      <c r="A72" s="7"/>
      <c r="B72" s="7" t="s">
        <v>674</v>
      </c>
      <c r="C72" s="7" t="s">
        <v>855</v>
      </c>
      <c r="D72" s="7" t="s">
        <v>787</v>
      </c>
      <c r="E72" s="7" t="s">
        <v>745</v>
      </c>
      <c r="F72" s="7" t="s">
        <v>858</v>
      </c>
      <c r="G72" s="7" t="s">
        <v>856</v>
      </c>
      <c r="H72">
        <v>1.2</v>
      </c>
    </row>
    <row r="73" spans="1:8">
      <c r="A73" s="7"/>
      <c r="B73" s="7" t="s">
        <v>667</v>
      </c>
      <c r="C73" s="7" t="s">
        <v>859</v>
      </c>
      <c r="D73" s="7" t="s">
        <v>788</v>
      </c>
      <c r="E73" s="7" t="s">
        <v>760</v>
      </c>
      <c r="F73" s="7" t="s">
        <v>180</v>
      </c>
      <c r="G73" s="7" t="s">
        <v>860</v>
      </c>
      <c r="H73">
        <v>1.2</v>
      </c>
    </row>
    <row r="74" spans="1:8">
      <c r="A74" s="7"/>
      <c r="B74" s="7" t="s">
        <v>686</v>
      </c>
      <c r="C74" s="7" t="s">
        <v>900</v>
      </c>
      <c r="D74" s="7" t="s">
        <v>901</v>
      </c>
      <c r="E74" s="7" t="s">
        <v>789</v>
      </c>
      <c r="F74" s="7" t="s">
        <v>902</v>
      </c>
      <c r="G74" s="7" t="s">
        <v>903</v>
      </c>
      <c r="H74">
        <v>1.2</v>
      </c>
    </row>
    <row r="75" spans="1:8">
      <c r="A75" s="7"/>
      <c r="B75" s="7" t="s">
        <v>687</v>
      </c>
      <c r="C75" s="7" t="s">
        <v>904</v>
      </c>
      <c r="D75" s="7" t="s">
        <v>790</v>
      </c>
      <c r="E75" s="7" t="s">
        <v>791</v>
      </c>
      <c r="F75" s="7" t="s">
        <v>905</v>
      </c>
      <c r="G75" s="7" t="s">
        <v>840</v>
      </c>
      <c r="H75">
        <v>1.2</v>
      </c>
    </row>
    <row r="76" spans="1:8">
      <c r="A76" s="7"/>
      <c r="B76" s="7" t="s">
        <v>688</v>
      </c>
      <c r="C76" s="7" t="s">
        <v>907</v>
      </c>
      <c r="D76" s="7" t="s">
        <v>906</v>
      </c>
      <c r="E76" s="7" t="s">
        <v>792</v>
      </c>
      <c r="F76" s="7" t="s">
        <v>858</v>
      </c>
      <c r="G76" s="7"/>
    </row>
    <row r="77" spans="1:8">
      <c r="A77" s="7"/>
      <c r="B77" s="7"/>
      <c r="C77" s="7"/>
      <c r="D77" s="7"/>
      <c r="E77" s="7"/>
      <c r="G77" s="7"/>
    </row>
    <row r="78" spans="1:8">
      <c r="A78" s="29" t="s">
        <v>648</v>
      </c>
      <c r="B78" s="29" t="s">
        <v>663</v>
      </c>
      <c r="C78" s="7" t="s">
        <v>834</v>
      </c>
      <c r="D78" s="7" t="s">
        <v>794</v>
      </c>
      <c r="E78" s="7" t="s">
        <v>690</v>
      </c>
      <c r="F78" t="s">
        <v>835</v>
      </c>
      <c r="G78" s="7" t="s">
        <v>837</v>
      </c>
      <c r="H78">
        <v>1.2</v>
      </c>
    </row>
    <row r="79" spans="1:8">
      <c r="A79" s="7"/>
      <c r="B79" s="7" t="s">
        <v>664</v>
      </c>
      <c r="C79" s="7" t="s">
        <v>838</v>
      </c>
      <c r="D79" s="7" t="s">
        <v>795</v>
      </c>
      <c r="E79" s="7"/>
      <c r="F79" t="s">
        <v>839</v>
      </c>
      <c r="G79" s="7" t="s">
        <v>840</v>
      </c>
      <c r="H79">
        <v>1.2</v>
      </c>
    </row>
    <row r="80" spans="1:8">
      <c r="A80" s="7"/>
      <c r="B80" s="7" t="s">
        <v>667</v>
      </c>
      <c r="C80" s="7" t="s">
        <v>859</v>
      </c>
      <c r="D80" s="7" t="s">
        <v>796</v>
      </c>
      <c r="E80" s="7"/>
      <c r="F80" s="7" t="s">
        <v>384</v>
      </c>
      <c r="G80" s="7" t="s">
        <v>860</v>
      </c>
      <c r="H80">
        <v>1.2</v>
      </c>
    </row>
    <row r="81" spans="1:8">
      <c r="B81" s="7" t="s">
        <v>797</v>
      </c>
      <c r="C81" s="7" t="s">
        <v>908</v>
      </c>
      <c r="D81" s="7" t="s">
        <v>798</v>
      </c>
      <c r="F81" s="7" t="s">
        <v>909</v>
      </c>
      <c r="G81" s="7" t="s">
        <v>461</v>
      </c>
      <c r="H81">
        <v>1.5</v>
      </c>
    </row>
    <row r="82" spans="1:8">
      <c r="B82" s="7"/>
      <c r="D82" s="7"/>
    </row>
    <row r="83" spans="1:8">
      <c r="A83" s="31" t="s">
        <v>793</v>
      </c>
      <c r="B83" s="29" t="s">
        <v>799</v>
      </c>
      <c r="C83" s="7" t="s">
        <v>910</v>
      </c>
      <c r="D83" s="7" t="s">
        <v>911</v>
      </c>
      <c r="E83" t="s">
        <v>801</v>
      </c>
      <c r="F83" t="s">
        <v>180</v>
      </c>
      <c r="G83" s="7" t="s">
        <v>437</v>
      </c>
      <c r="H83">
        <v>1.2</v>
      </c>
    </row>
    <row r="84" spans="1:8">
      <c r="B84" s="7" t="s">
        <v>800</v>
      </c>
      <c r="C84" s="7" t="s">
        <v>912</v>
      </c>
      <c r="D84" s="7" t="s">
        <v>913</v>
      </c>
      <c r="E84" t="s">
        <v>802</v>
      </c>
      <c r="F84" s="7" t="s">
        <v>180</v>
      </c>
      <c r="G84" s="7" t="s">
        <v>914</v>
      </c>
      <c r="H84">
        <v>1.2</v>
      </c>
    </row>
    <row r="85" spans="1:8">
      <c r="B85" s="7" t="s">
        <v>803</v>
      </c>
      <c r="C85" s="7" t="s">
        <v>915</v>
      </c>
      <c r="D85" s="7" t="s">
        <v>804</v>
      </c>
      <c r="E85" t="s">
        <v>805</v>
      </c>
      <c r="F85" s="7" t="s">
        <v>180</v>
      </c>
      <c r="G85" s="7" t="s">
        <v>437</v>
      </c>
      <c r="H85">
        <v>1.2</v>
      </c>
    </row>
    <row r="86" spans="1:8">
      <c r="B86" s="7" t="s">
        <v>806</v>
      </c>
      <c r="C86" s="7" t="s">
        <v>916</v>
      </c>
      <c r="D86" s="7" t="s">
        <v>807</v>
      </c>
      <c r="E86" t="s">
        <v>809</v>
      </c>
      <c r="F86" s="7" t="s">
        <v>180</v>
      </c>
      <c r="G86" s="18" t="s">
        <v>480</v>
      </c>
      <c r="H86">
        <v>3.2</v>
      </c>
    </row>
    <row r="87" spans="1:8" ht="19.899999999999999">
      <c r="B87" s="7" t="s">
        <v>811</v>
      </c>
      <c r="C87" s="7" t="s">
        <v>912</v>
      </c>
      <c r="D87" s="16" t="s">
        <v>808</v>
      </c>
      <c r="E87" t="s">
        <v>810</v>
      </c>
      <c r="F87" s="7" t="s">
        <v>180</v>
      </c>
      <c r="G87" s="7" t="s">
        <v>872</v>
      </c>
      <c r="H87">
        <v>1.2</v>
      </c>
    </row>
    <row r="88" spans="1:8">
      <c r="B88" s="7" t="s">
        <v>812</v>
      </c>
      <c r="C88" s="7" t="s">
        <v>918</v>
      </c>
      <c r="D88" t="s">
        <v>919</v>
      </c>
      <c r="E88" t="s">
        <v>784</v>
      </c>
      <c r="F88" s="7" t="s">
        <v>180</v>
      </c>
      <c r="G88" s="7" t="s">
        <v>917</v>
      </c>
      <c r="H88">
        <v>1.2</v>
      </c>
    </row>
    <row r="89" spans="1:8">
      <c r="B89" s="7" t="s">
        <v>813</v>
      </c>
      <c r="C89" s="7" t="s">
        <v>920</v>
      </c>
      <c r="D89" s="7" t="s">
        <v>814</v>
      </c>
      <c r="E89" t="s">
        <v>784</v>
      </c>
      <c r="F89" s="7" t="s">
        <v>921</v>
      </c>
      <c r="G89" s="7" t="s">
        <v>480</v>
      </c>
      <c r="H89">
        <v>1.2</v>
      </c>
    </row>
    <row r="91" spans="1:8">
      <c r="A91" s="31" t="s">
        <v>816</v>
      </c>
      <c r="B91" s="7" t="s">
        <v>925</v>
      </c>
      <c r="C91" s="7" t="s">
        <v>926</v>
      </c>
      <c r="D91" t="s">
        <v>821</v>
      </c>
      <c r="E91" t="s">
        <v>730</v>
      </c>
      <c r="F91" s="7" t="s">
        <v>180</v>
      </c>
      <c r="G91" s="7" t="s">
        <v>842</v>
      </c>
      <c r="H91">
        <v>1.2</v>
      </c>
    </row>
    <row r="92" spans="1:8">
      <c r="B92" s="7" t="s">
        <v>822</v>
      </c>
      <c r="C92" s="7" t="s">
        <v>927</v>
      </c>
      <c r="D92" t="s">
        <v>823</v>
      </c>
      <c r="F92" s="7" t="s">
        <v>928</v>
      </c>
      <c r="G92" s="7" t="s">
        <v>929</v>
      </c>
      <c r="H92">
        <v>1.2</v>
      </c>
    </row>
    <row r="93" spans="1:8">
      <c r="B93" s="7" t="s">
        <v>824</v>
      </c>
      <c r="C93" s="7" t="s">
        <v>930</v>
      </c>
      <c r="D93" t="s">
        <v>825</v>
      </c>
      <c r="F93" s="7" t="s">
        <v>180</v>
      </c>
      <c r="G93" s="7" t="s">
        <v>490</v>
      </c>
      <c r="H93">
        <v>1.2</v>
      </c>
    </row>
    <row r="94" spans="1:8" ht="16.899999999999999">
      <c r="B94" s="30" t="s">
        <v>826</v>
      </c>
      <c r="C94" t="s">
        <v>874</v>
      </c>
      <c r="D94" t="s">
        <v>827</v>
      </c>
      <c r="F94" s="14" t="s">
        <v>190</v>
      </c>
      <c r="G94" t="s">
        <v>846</v>
      </c>
      <c r="H94">
        <v>1.1000000000000001</v>
      </c>
    </row>
    <row r="95" spans="1:8">
      <c r="B95" s="7" t="s">
        <v>828</v>
      </c>
      <c r="C95" s="7" t="s">
        <v>931</v>
      </c>
      <c r="D95" t="s">
        <v>829</v>
      </c>
      <c r="E95" t="s">
        <v>932</v>
      </c>
      <c r="F95" s="7" t="s">
        <v>933</v>
      </c>
      <c r="G95" s="7" t="s">
        <v>840</v>
      </c>
      <c r="H95">
        <v>1.2</v>
      </c>
    </row>
    <row r="96" spans="1:8" ht="19.899999999999999">
      <c r="B96" s="7" t="s">
        <v>934</v>
      </c>
      <c r="C96" s="7" t="s">
        <v>931</v>
      </c>
      <c r="D96" s="16" t="s">
        <v>935</v>
      </c>
      <c r="E96" t="s">
        <v>936</v>
      </c>
      <c r="F96" s="7" t="s">
        <v>928</v>
      </c>
      <c r="G96" s="7" t="s">
        <v>937</v>
      </c>
      <c r="H96">
        <v>1.2</v>
      </c>
    </row>
    <row r="97" spans="1:8">
      <c r="B97" s="7" t="s">
        <v>938</v>
      </c>
      <c r="C97" s="7" t="s">
        <v>939</v>
      </c>
      <c r="D97" t="s">
        <v>940</v>
      </c>
      <c r="E97" t="s">
        <v>941</v>
      </c>
      <c r="F97" s="7" t="s">
        <v>928</v>
      </c>
      <c r="G97" s="7" t="s">
        <v>422</v>
      </c>
      <c r="H97">
        <v>1.2</v>
      </c>
    </row>
    <row r="98" spans="1:8">
      <c r="B98" s="7" t="s">
        <v>942</v>
      </c>
      <c r="C98" s="7" t="s">
        <v>943</v>
      </c>
      <c r="D98" t="s">
        <v>820</v>
      </c>
      <c r="E98" t="s">
        <v>944</v>
      </c>
      <c r="F98" s="7" t="s">
        <v>180</v>
      </c>
      <c r="G98" s="7" t="s">
        <v>480</v>
      </c>
      <c r="H98">
        <v>1.2</v>
      </c>
    </row>
    <row r="99" spans="1:8">
      <c r="A99" s="31" t="s">
        <v>817</v>
      </c>
      <c r="B99" s="7" t="s">
        <v>945</v>
      </c>
      <c r="C99" t="s">
        <v>871</v>
      </c>
      <c r="D99" t="s">
        <v>946</v>
      </c>
      <c r="E99" t="s">
        <v>725</v>
      </c>
      <c r="F99" s="7" t="s">
        <v>180</v>
      </c>
      <c r="G99" s="7" t="s">
        <v>872</v>
      </c>
      <c r="H99">
        <v>1.2</v>
      </c>
    </row>
    <row r="100" spans="1:8">
      <c r="B100" s="7" t="s">
        <v>818</v>
      </c>
      <c r="C100" t="s">
        <v>859</v>
      </c>
      <c r="D100" t="s">
        <v>819</v>
      </c>
      <c r="E100" t="s">
        <v>947</v>
      </c>
      <c r="F100" s="7" t="s">
        <v>180</v>
      </c>
      <c r="G100" s="7" t="s">
        <v>860</v>
      </c>
      <c r="H100">
        <v>1.2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DDDE8-D695-434B-A4BE-A796E3D4D0DB}">
  <dimension ref="B1:H1"/>
  <sheetViews>
    <sheetView workbookViewId="0">
      <selection activeCell="D23" sqref="D23"/>
    </sheetView>
  </sheetViews>
  <sheetFormatPr defaultColWidth="11" defaultRowHeight="15.75"/>
  <sheetData>
    <row r="1" spans="2:8">
      <c r="B1" s="13" t="s">
        <v>10</v>
      </c>
      <c r="C1" s="13" t="s">
        <v>11</v>
      </c>
      <c r="D1" s="13" t="s">
        <v>12</v>
      </c>
      <c r="E1" s="13" t="s">
        <v>13</v>
      </c>
      <c r="F1" s="13" t="s">
        <v>14</v>
      </c>
      <c r="G1" s="13" t="s">
        <v>15</v>
      </c>
      <c r="H1" s="13" t="s">
        <v>420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Health Concern</vt:lpstr>
      <vt:lpstr>Reference sheet</vt:lpstr>
      <vt:lpstr>Bloating(do not use)</vt:lpstr>
      <vt:lpstr>Cardiovascular (update WIP)</vt:lpstr>
      <vt:lpstr>Cardiovascular</vt:lpstr>
      <vt:lpstr>Digestion &amp; Liver</vt:lpstr>
      <vt:lpstr>mens health </vt:lpstr>
      <vt:lpstr>Haematology</vt:lpstr>
      <vt:lpstr>Skin condtion </vt:lpstr>
      <vt:lpstr>Pregnacy and laction safe herbs</vt:lpstr>
      <vt:lpstr>womens health </vt:lpstr>
      <vt:lpstr>
Urinary System
Urinary System</vt:lpstr>
      <vt:lpstr>BloatingTable</vt:lpstr>
      <vt:lpstr>BloatingTable2</vt:lpstr>
      <vt:lpstr>BloatingTable3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Samuel Sharland</cp:lastModifiedBy>
  <dcterms:created xsi:type="dcterms:W3CDTF">2023-07-08T06:19:22Z</dcterms:created>
  <dcterms:modified xsi:type="dcterms:W3CDTF">2025-12-04T18:44:21Z</dcterms:modified>
</cp:coreProperties>
</file>